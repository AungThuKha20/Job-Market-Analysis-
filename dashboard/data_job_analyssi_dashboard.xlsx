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mc:AlternateContent xmlns:mc="http://schemas.openxmlformats.org/markup-compatibility/2006">
    <mc:Choice Requires="x15">
      <x15ac:absPath xmlns:x15ac="http://schemas.microsoft.com/office/spreadsheetml/2010/11/ac" url="C:\sql_data_job_analysis\dashboard\"/>
    </mc:Choice>
  </mc:AlternateContent>
  <xr:revisionPtr revIDLastSave="0" documentId="13_ncr:1_{F55AB06B-DA20-470E-BA3B-71423FAB6CCA}" xr6:coauthVersionLast="47" xr6:coauthVersionMax="47" xr10:uidLastSave="{00000000-0000-0000-0000-000000000000}"/>
  <bookViews>
    <workbookView xWindow="-108" yWindow="-108" windowWidth="23256" windowHeight="12456" firstSheet="6" activeTab="6" xr2:uid="{282FF4E1-E682-4F13-BD63-175B62F1628E}"/>
  </bookViews>
  <sheets>
    <sheet name="skills" sheetId="7" state="hidden" r:id="rId1"/>
    <sheet name="job_skills" sheetId="6" state="hidden" r:id="rId2"/>
    <sheet name="job_postings" sheetId="5" state="hidden" r:id="rId3"/>
    <sheet name="applications" sheetId="4" state="hidden" r:id="rId4"/>
    <sheet name="companies" sheetId="3" state="hidden" r:id="rId5"/>
    <sheet name="pivot_table" sheetId="1" state="hidden" r:id="rId6"/>
    <sheet name="Job Market Dashboard" sheetId="9" r:id="rId7"/>
  </sheets>
  <definedNames>
    <definedName name="_xlcn.WorksheetConnection_Book1.xlsxjob_postings1" hidden="1">job_postings[]</definedName>
    <definedName name="_xlcn.WorksheetConnection_Book1.xlsxjob_skills1" hidden="1">job_skills[]</definedName>
    <definedName name="ExternalData_1" localSheetId="4" hidden="1">'companies'!$A$1:$G$53</definedName>
    <definedName name="ExternalData_2" localSheetId="3" hidden="1">applications!$A$1:$I$51</definedName>
    <definedName name="ExternalData_3" localSheetId="2" hidden="1">job_postings!$A$1:$AD$51</definedName>
    <definedName name="ExternalData_4" localSheetId="1" hidden="1">job_skills!$A$1:$B$148</definedName>
    <definedName name="ExternalData_5" localSheetId="0" hidden="1">skills!$A$1:$C$26</definedName>
    <definedName name="_xlnm.Print_Area" localSheetId="6">'Job Market Dashboard'!$A$1:$AK$69</definedName>
    <definedName name="Slicer_applications.application_status">#N/A</definedName>
    <definedName name="Slicer_job_type">#N/A</definedName>
  </definedNames>
  <calcPr calcId="191029"/>
  <pivotCaches>
    <pivotCache cacheId="1759" r:id="rId8"/>
    <pivotCache cacheId="2152" r:id="rId9"/>
    <pivotCache cacheId="2155" r:id="rId10"/>
    <pivotCache cacheId="2158" r:id="rId11"/>
    <pivotCache cacheId="2161" r:id="rId12"/>
    <pivotCache cacheId="2164" r:id="rId13"/>
  </pivotCaches>
  <extLst>
    <ext xmlns:x14="http://schemas.microsoft.com/office/spreadsheetml/2009/9/main" uri="{876F7934-8845-4945-9796-88D515C7AA90}">
      <x14:pivotCaches>
        <pivotCache cacheId="4"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b_skills" name="job_skills" connection="WorksheetConnection_Book1.xlsx!job_skills"/>
          <x15:modelTable id="job_postings" name="job_postings" connection="WorksheetConnection_Book1.xlsx!job_postings"/>
        </x15:modelTables>
        <x15:modelRelationships>
          <x15:modelRelationship fromTable="job_skills" fromColumn="job_id" toTable="job_postings" toColumn="job_id"/>
        </x15:modelRelationships>
      </x15:dataModel>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N48" i="1" l="1"/>
  <c r="B58" i="1"/>
  <c r="B13" i="1"/>
  <c r="A13" i="1"/>
  <c r="A16" i="1" s="1"/>
  <c r="C58" i="1"/>
  <c r="O46" i="1"/>
  <c r="D88" i="1"/>
  <c r="N3" i="1"/>
  <c r="A59" i="1" l="1"/>
  <c r="N5" i="1"/>
  <c r="B59" i="1" l="1"/>
  <c r="D59" i="1"/>
  <c r="C59" i="1"/>
  <c r="A6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7151D4-003B-49C0-92F3-69717761DF9B}" keepAlive="1" name="Query - applications" description="Connection to the 'applications' query in the workbook." type="5" refreshedVersion="8" background="1" saveData="1">
    <dbPr connection="Provider=Microsoft.Mashup.OleDb.1;Data Source=$Workbook$;Location=applications;Extended Properties=&quot;&quot;" command="SELECT * FROM [applications]"/>
  </connection>
  <connection id="2" xr16:uid="{87FA366D-FBD4-4204-80DB-32D212226143}" keepAlive="1" name="Query - companies" description="Connection to the 'companies' query in the workbook." type="5" refreshedVersion="8" background="1" saveData="1">
    <dbPr connection="Provider=Microsoft.Mashup.OleDb.1;Data Source=$Workbook$;Location=companies;Extended Properties=&quot;&quot;" command="SELECT * FROM [companies]"/>
  </connection>
  <connection id="3" xr16:uid="{CFD45ACA-4968-4644-9864-46070160009E}" keepAlive="1" name="Query - job_postings" description="Connection to the 'job_postings' query in the workbook." type="5" refreshedVersion="8" background="1" saveData="1">
    <dbPr connection="Provider=Microsoft.Mashup.OleDb.1;Data Source=$Workbook$;Location=job_postings;Extended Properties=&quot;&quot;" command="SELECT * FROM [job_postings]"/>
  </connection>
  <connection id="4" xr16:uid="{118DCB02-AE96-4596-95EA-71C1D1B1C372}" keepAlive="1" name="Query - job_skills" description="Connection to the 'job_skills' query in the workbook." type="5" refreshedVersion="8" background="1" saveData="1">
    <dbPr connection="Provider=Microsoft.Mashup.OleDb.1;Data Source=$Workbook$;Location=job_skills;Extended Properties=&quot;&quot;" command="SELECT * FROM [job_skills]"/>
  </connection>
  <connection id="5" xr16:uid="{38250D40-871B-4E9D-AC9F-E68699FE5791}" keepAlive="1" name="Query - skills" description="Connection to the 'skills' query in the workbook." type="5" refreshedVersion="8" background="1" saveData="1">
    <dbPr connection="Provider=Microsoft.Mashup.OleDb.1;Data Source=$Workbook$;Location=skills;Extended Properties=&quot;&quot;" command="SELECT * FROM [skills]"/>
  </connection>
  <connection id="6" xr16:uid="{C980CF30-AF6C-4042-86FA-D3CA90EF85A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4E385139-35B9-46BC-B056-7A282D1B6A3B}" name="WorksheetConnection_Book1.xlsx!job_postings" type="102" refreshedVersion="8" minRefreshableVersion="5">
    <extLst>
      <ext xmlns:x15="http://schemas.microsoft.com/office/spreadsheetml/2010/11/main" uri="{DE250136-89BD-433C-8126-D09CA5730AF9}">
        <x15:connection id="job_postings" autoDelete="1">
          <x15:rangePr sourceName="_xlcn.WorksheetConnection_Book1.xlsxjob_postings1"/>
        </x15:connection>
      </ext>
    </extLst>
  </connection>
  <connection id="8" xr16:uid="{90A305D7-8FD7-4BF7-B382-F5ACD916D908}" name="WorksheetConnection_Book1.xlsx!job_skills" type="102" refreshedVersion="8" minRefreshableVersion="5">
    <extLst>
      <ext xmlns:x15="http://schemas.microsoft.com/office/spreadsheetml/2010/11/main" uri="{DE250136-89BD-433C-8126-D09CA5730AF9}">
        <x15:connection id="job_skills" autoDelete="1">
          <x15:rangePr sourceName="_xlcn.WorksheetConnection_Book1.xlsxjob_skills1"/>
        </x15:connection>
      </ext>
    </extLst>
  </connection>
</connections>
</file>

<file path=xl/sharedStrings.xml><?xml version="1.0" encoding="utf-8"?>
<sst xmlns="http://schemas.openxmlformats.org/spreadsheetml/2006/main" count="1711" uniqueCount="556">
  <si>
    <t>application_id</t>
  </si>
  <si>
    <t>job_id</t>
  </si>
  <si>
    <t>applicant_name</t>
  </si>
  <si>
    <t>applicant_email</t>
  </si>
  <si>
    <t>application_date</t>
  </si>
  <si>
    <t>resume_file_path</t>
  </si>
  <si>
    <t>cover_letter_text</t>
  </si>
  <si>
    <t>application_status</t>
  </si>
  <si>
    <t>status_updated_date</t>
  </si>
  <si>
    <t>Aung Ko Win</t>
  </si>
  <si>
    <t>aungkowin@email.com</t>
  </si>
  <si>
    <t>/resumes/aungkowin.pdf</t>
  </si>
  <si>
    <t>Senior Data Scientist with 5 years ML experience</t>
  </si>
  <si>
    <t>Interview</t>
  </si>
  <si>
    <t>Hla Hla Myint</t>
  </si>
  <si>
    <t>hlahla@email.com</t>
  </si>
  <si>
    <t>/resumes/hlahla.pdf</t>
  </si>
  <si>
    <t>Machine Learning Engineer specialized in NLP</t>
  </si>
  <si>
    <t>Reviewed</t>
  </si>
  <si>
    <t>Myo Min Htet</t>
  </si>
  <si>
    <t>myomin@email.com</t>
  </si>
  <si>
    <t>/resumes/myomin.pdf</t>
  </si>
  <si>
    <t>Senior Data Engineer with AWS and Spark expertise</t>
  </si>
  <si>
    <t>Offered</t>
  </si>
  <si>
    <t>Zaw Zaw</t>
  </si>
  <si>
    <t>zawzaw@email.com</t>
  </si>
  <si>
    <t>/resumes/zawzaw.pdf</t>
  </si>
  <si>
    <t>Data Scientist seeking role in Ayeyarwady</t>
  </si>
  <si>
    <t>Applied</t>
  </si>
  <si>
    <t>Nyein Chan</t>
  </si>
  <si>
    <t>nyein@email.com</t>
  </si>
  <si>
    <t>/resumes/nyein.pdf</t>
  </si>
  <si>
    <t>Data Engineer with 3 years experience</t>
  </si>
  <si>
    <t>Khin Mar Lar</t>
  </si>
  <si>
    <t>khinmarlar@email.com</t>
  </si>
  <si>
    <t>/resumes/khinmarlar.pdf</t>
  </si>
  <si>
    <t>Software Engineer full-stack developer</t>
  </si>
  <si>
    <t>Tun Tun Aung</t>
  </si>
  <si>
    <t>tuntun@email.com</t>
  </si>
  <si>
    <t>/resumes/tuntun.pdf</t>
  </si>
  <si>
    <t>Cloud Engineer AWS certified</t>
  </si>
  <si>
    <t>Su Su Hlaing</t>
  </si>
  <si>
    <t>susu@email.com</t>
  </si>
  <si>
    <t>/resumes/susu.pdf</t>
  </si>
  <si>
    <t>Senior Data Analyst with Power BI expertise</t>
  </si>
  <si>
    <t>Min Min Oo</t>
  </si>
  <si>
    <t>minmin@email.com</t>
  </si>
  <si>
    <t>/resumes/minmin.pdf</t>
  </si>
  <si>
    <t>Business Analyst with Agile experience</t>
  </si>
  <si>
    <t>Mya Mya San</t>
  </si>
  <si>
    <t>myamya@email.com</t>
  </si>
  <si>
    <t>/resumes/myamya.pdf</t>
  </si>
  <si>
    <t>Entry level Data Analyst</t>
  </si>
  <si>
    <t>Ko Ko Gyi</t>
  </si>
  <si>
    <t>koko@email.com</t>
  </si>
  <si>
    <t>/resumes/koko.pdf</t>
  </si>
  <si>
    <t>Senior Data Scientist in Kayin State</t>
  </si>
  <si>
    <t>Thida Win</t>
  </si>
  <si>
    <t>thida@email.com</t>
  </si>
  <si>
    <t>/resumes/thida.pdf</t>
  </si>
  <si>
    <t>Machine Learning Engineer in Magway</t>
  </si>
  <si>
    <t>Soe Moe Kyaw</t>
  </si>
  <si>
    <t>soemoe@email.com</t>
  </si>
  <si>
    <t>/resumes/soemoe.pdf</t>
  </si>
  <si>
    <t>Senior Data Engineer seeking new role</t>
  </si>
  <si>
    <t>Nilar Tun</t>
  </si>
  <si>
    <t>nilar@email.com</t>
  </si>
  <si>
    <t>/resumes/nilar.pdf</t>
  </si>
  <si>
    <t>Data Scientist with statistical background</t>
  </si>
  <si>
    <t>Htet Htet Aung</t>
  </si>
  <si>
    <t>htethtet@email.com</t>
  </si>
  <si>
    <t>/resumes/htethtet.pdf</t>
  </si>
  <si>
    <t>Data Engineer in Chin State</t>
  </si>
  <si>
    <t>Yin Yin Maw</t>
  </si>
  <si>
    <t>yinyin@email.com</t>
  </si>
  <si>
    <t>/resumes/yinyin.pdf</t>
  </si>
  <si>
    <t>Software Engineer remote position</t>
  </si>
  <si>
    <t>Zin Mar Win</t>
  </si>
  <si>
    <t>zinmar@email.com</t>
  </si>
  <si>
    <t>/resumes/zinmar.pdf</t>
  </si>
  <si>
    <t>Cloud Engineer with multi-cloud experience</t>
  </si>
  <si>
    <t>Wai Yan Oo</t>
  </si>
  <si>
    <t>waiyan@email.com</t>
  </si>
  <si>
    <t>/resumes/waiyan.pdf</t>
  </si>
  <si>
    <t>Senior Data Analyst in Mandalay</t>
  </si>
  <si>
    <t>Aye Aye Mar</t>
  </si>
  <si>
    <t>ayeaye@email.com</t>
  </si>
  <si>
    <t>/resumes/ayeaye.pdf</t>
  </si>
  <si>
    <t>Business Analyst Ayeyarwady region</t>
  </si>
  <si>
    <t>Phyo Wai Yan</t>
  </si>
  <si>
    <t>phyo@email.com</t>
  </si>
  <si>
    <t>/resumes/phyo.pdf</t>
  </si>
  <si>
    <t>Data Analyst entry level</t>
  </si>
  <si>
    <t>Thuzar Win</t>
  </si>
  <si>
    <t>thuzar@email.com</t>
  </si>
  <si>
    <t>/resumes/thuzar.pdf</t>
  </si>
  <si>
    <t>Senior Data Scientist in Bago</t>
  </si>
  <si>
    <t>San San Aye</t>
  </si>
  <si>
    <t>sansan@email.com</t>
  </si>
  <si>
    <t>/resumes/sansan.pdf</t>
  </si>
  <si>
    <t>Machine Learning Engineer Yangon</t>
  </si>
  <si>
    <t>Moe Moe Kyaw</t>
  </si>
  <si>
    <t>moemoe@email.com</t>
  </si>
  <si>
    <t>/resumes/moemoe.pdf</t>
  </si>
  <si>
    <t>Senior Data Engineer Kachin State</t>
  </si>
  <si>
    <t>Cho Cho Win</t>
  </si>
  <si>
    <t>chocho@email.com</t>
  </si>
  <si>
    <t>/resumes/chocho.pdf</t>
  </si>
  <si>
    <t>Data Scientist Shan State agriculture</t>
  </si>
  <si>
    <t>Aung Thu Ya</t>
  </si>
  <si>
    <t>aungthu@email.com</t>
  </si>
  <si>
    <t>/resumes/aungthu.pdf</t>
  </si>
  <si>
    <t>Data Engineer Rakhine State</t>
  </si>
  <si>
    <t>May Thu Zin</t>
  </si>
  <si>
    <t>maythu@email.com</t>
  </si>
  <si>
    <t>/resumes/maythu.pdf</t>
  </si>
  <si>
    <t>Software Engineer Mon State</t>
  </si>
  <si>
    <t>Tin Zar Ni</t>
  </si>
  <si>
    <t>tinzarni@email.com</t>
  </si>
  <si>
    <t>/resumes/tinzarni.pdf</t>
  </si>
  <si>
    <t>Cloud Engineer Kayin State</t>
  </si>
  <si>
    <t>Ye Naing</t>
  </si>
  <si>
    <t>yenaing@email.com</t>
  </si>
  <si>
    <t>/resumes/yenaing.pdf</t>
  </si>
  <si>
    <t>Senior Data Analyst Magway</t>
  </si>
  <si>
    <t>Shwe Sin Maung</t>
  </si>
  <si>
    <t>shwesin@email.com</t>
  </si>
  <si>
    <t>/resumes/shwesin.pdf</t>
  </si>
  <si>
    <t>Business Analyst Chin State</t>
  </si>
  <si>
    <t>Myat Noe Thu</t>
  </si>
  <si>
    <t>myatnoe@email.com</t>
  </si>
  <si>
    <t>/resumes/myatnoe.pdf</t>
  </si>
  <si>
    <t>Data Analyst Yangon</t>
  </si>
  <si>
    <t>Kyaw Swar Htun</t>
  </si>
  <si>
    <t>kyawswar@email.com</t>
  </si>
  <si>
    <t>/resumes/kyawswar.pdf</t>
  </si>
  <si>
    <t>Senior Data Scientist Mandalay</t>
  </si>
  <si>
    <t>Nay Myo Lin</t>
  </si>
  <si>
    <t>naymyo@email.com</t>
  </si>
  <si>
    <t>/resumes/naymyo.pdf</t>
  </si>
  <si>
    <t>Machine Learning Engineer Ayeyarwady</t>
  </si>
  <si>
    <t>Hlaing Hlaing Kyaw</t>
  </si>
  <si>
    <t>hlainghlaing@email.com</t>
  </si>
  <si>
    <t>/resumes/hlainghlaing.pdf</t>
  </si>
  <si>
    <t>Senior Data Engineer Sagaing</t>
  </si>
  <si>
    <t>Sai Sai Kham</t>
  </si>
  <si>
    <t>saisai@email.com</t>
  </si>
  <si>
    <t>/resumes/saisai.pdf</t>
  </si>
  <si>
    <t>Data Scientist Bago region</t>
  </si>
  <si>
    <t>Win Win Myint</t>
  </si>
  <si>
    <t>winwin@email.com</t>
  </si>
  <si>
    <t>/resumes/winwin.pdf</t>
  </si>
  <si>
    <t>Data Engineer Kayah State</t>
  </si>
  <si>
    <t>Pyae Sone Htun</t>
  </si>
  <si>
    <t>pyaesone@email.com</t>
  </si>
  <si>
    <t>/resumes/pyaesone.pdf</t>
  </si>
  <si>
    <t>Software Engineer Tanintharyi</t>
  </si>
  <si>
    <t>Nang Kham Mai</t>
  </si>
  <si>
    <t>nangkham@email.com</t>
  </si>
  <si>
    <t>/resumes/nangkham.pdf</t>
  </si>
  <si>
    <t>Cloud Engineer Yangon</t>
  </si>
  <si>
    <t>Aung Aung Myint</t>
  </si>
  <si>
    <t>aungaung@email.com</t>
  </si>
  <si>
    <t>/resumes/aungaung.pdf</t>
  </si>
  <si>
    <t>Senior Data Analyst Rakhine</t>
  </si>
  <si>
    <t>Kyaw Zin Htet</t>
  </si>
  <si>
    <t>kyawzin@email.com</t>
  </si>
  <si>
    <t>/resumes/kyawzin.pdf</t>
  </si>
  <si>
    <t>Business Analyst Shan State</t>
  </si>
  <si>
    <t>Thinzar Aung</t>
  </si>
  <si>
    <t>thinzar@email.com</t>
  </si>
  <si>
    <t>/resumes/thinzar.pdf</t>
  </si>
  <si>
    <t>Data Analyst Mon State</t>
  </si>
  <si>
    <t>Zaw Win Htet</t>
  </si>
  <si>
    <t>zawwin@email.com</t>
  </si>
  <si>
    <t>/resumes/zawwin.pdf</t>
  </si>
  <si>
    <t>Senior Data Scientist Kayin</t>
  </si>
  <si>
    <t>Moe Kyaw Thu</t>
  </si>
  <si>
    <t>moe@email.com</t>
  </si>
  <si>
    <t>/resumes/moe.pdf</t>
  </si>
  <si>
    <t>Machine Learning Engineer Magway</t>
  </si>
  <si>
    <t>Myo Myint Aung</t>
  </si>
  <si>
    <t>myomyint@email.com</t>
  </si>
  <si>
    <t>/resumes/myomyint.pdf</t>
  </si>
  <si>
    <t>Senior Data Engineer Chin State</t>
  </si>
  <si>
    <t>Nay Chi Aung</t>
  </si>
  <si>
    <t>naychi@email.com</t>
  </si>
  <si>
    <t>/resumes/naychi.pdf</t>
  </si>
  <si>
    <t>Data Scientist Yangon</t>
  </si>
  <si>
    <t>Khin Khin Htwe</t>
  </si>
  <si>
    <t>khinkhin@email.com</t>
  </si>
  <si>
    <t>/resumes/khinkhin.pdf</t>
  </si>
  <si>
    <t>Data Engineer Mandalay</t>
  </si>
  <si>
    <t>Aye Myat Mon</t>
  </si>
  <si>
    <t>ayemyat@email.com</t>
  </si>
  <si>
    <t>/resumes/ayemyat.pdf</t>
  </si>
  <si>
    <t>Software Engineer Ayeyarwady</t>
  </si>
  <si>
    <t>Thant Zin Oo</t>
  </si>
  <si>
    <t>thantzin@email.com</t>
  </si>
  <si>
    <t>/resumes/thantzin.pdf</t>
  </si>
  <si>
    <t>Cloud Engineer Sagaing</t>
  </si>
  <si>
    <t>Saw Myat Thu</t>
  </si>
  <si>
    <t>sawmyat@email.com</t>
  </si>
  <si>
    <t>/resumes/sawmyat.pdf</t>
  </si>
  <si>
    <t>Senior Data Analyst Bago</t>
  </si>
  <si>
    <t>Kyaw Thu Ra</t>
  </si>
  <si>
    <t>kyawthu@email.com</t>
  </si>
  <si>
    <t>/resumes/kyawthu.pdf</t>
  </si>
  <si>
    <t>Business Analyst Kachin</t>
  </si>
  <si>
    <t>Nang Saing Kham</t>
  </si>
  <si>
    <t>nangsaing@email.com</t>
  </si>
  <si>
    <t>/resumes/nangsaing.pdf</t>
  </si>
  <si>
    <t>Data Analyst Naypyidaw</t>
  </si>
  <si>
    <t>company_id</t>
  </si>
  <si>
    <t>company_name</t>
  </si>
  <si>
    <t>industry</t>
  </si>
  <si>
    <t>company_size</t>
  </si>
  <si>
    <t>headquarters_location</t>
  </si>
  <si>
    <t>website</t>
  </si>
  <si>
    <t>created_date</t>
  </si>
  <si>
    <t>Myanmar Data Solutions</t>
  </si>
  <si>
    <t>Information Technology</t>
  </si>
  <si>
    <t>Medium</t>
  </si>
  <si>
    <t>Yangon Region</t>
  </si>
  <si>
    <t>https://myanmardata.mm</t>
  </si>
  <si>
    <t>Yangon Tech Hub</t>
  </si>
  <si>
    <t>Large</t>
  </si>
  <si>
    <t>https://ygn-tech.mm</t>
  </si>
  <si>
    <t>Mandalay Analytics</t>
  </si>
  <si>
    <t>Mandalay Region</t>
  </si>
  <si>
    <t>https://mdy-analytics.mm</t>
  </si>
  <si>
    <t>Ayeyarwady Data Systems</t>
  </si>
  <si>
    <t>Small</t>
  </si>
  <si>
    <t>Ayeyarwady Region</t>
  </si>
  <si>
    <t>https://ayeyarwady-data.mm</t>
  </si>
  <si>
    <t>Naypyidaw AI Lab</t>
  </si>
  <si>
    <t>Naypyidaw Union Territory</t>
  </si>
  <si>
    <t>https://npt-ai.mm</t>
  </si>
  <si>
    <t>Shan State Tech</t>
  </si>
  <si>
    <t>Shan State</t>
  </si>
  <si>
    <t>https://shan-tech.mm</t>
  </si>
  <si>
    <t>Sagaing Software Solutions</t>
  </si>
  <si>
    <t>Sagaing Region</t>
  </si>
  <si>
    <t>https://sagaing-soft.mm</t>
  </si>
  <si>
    <t>Rakhine Data Center</t>
  </si>
  <si>
    <t>Rakhine State</t>
  </si>
  <si>
    <t>https://rakhine-data.mm</t>
  </si>
  <si>
    <t>Kachin Cloud Systems</t>
  </si>
  <si>
    <t>Kachin State</t>
  </si>
  <si>
    <t>https://kachin-cloud.mm</t>
  </si>
  <si>
    <t>Mon State Analytics</t>
  </si>
  <si>
    <t>Mon State</t>
  </si>
  <si>
    <t>https://mon-analytics.mm</t>
  </si>
  <si>
    <t>Kayin Tech Solutions</t>
  </si>
  <si>
    <t>Kayin State</t>
  </si>
  <si>
    <t>https://kayin-tech.mm</t>
  </si>
  <si>
    <t>Magway Data Services</t>
  </si>
  <si>
    <t>Magway Region</t>
  </si>
  <si>
    <t>https://magway-data.mm</t>
  </si>
  <si>
    <t>Bago Tech Innovations</t>
  </si>
  <si>
    <t>Bago Region</t>
  </si>
  <si>
    <t>https://bago-tech.mm</t>
  </si>
  <si>
    <t>Tanintharyi Digital</t>
  </si>
  <si>
    <t>Tanintharyi Region</t>
  </si>
  <si>
    <t>https://tanintharyi-digital.mm</t>
  </si>
  <si>
    <t>Chin State Tech</t>
  </si>
  <si>
    <t>Chin State</t>
  </si>
  <si>
    <t>https://chin-tech.mm</t>
  </si>
  <si>
    <t>Kayah Data Analytics</t>
  </si>
  <si>
    <t>Kayah State</t>
  </si>
  <si>
    <t>https://kayah-data.mm</t>
  </si>
  <si>
    <t>Yangon FinTech</t>
  </si>
  <si>
    <t>Finance</t>
  </si>
  <si>
    <t>https://ygn-fintech.mm</t>
  </si>
  <si>
    <t>Mandalay HealthTech</t>
  </si>
  <si>
    <t>Healthcare</t>
  </si>
  <si>
    <t>https://mdy-healthtech.mm</t>
  </si>
  <si>
    <t>Ayeyarwady AgriTech</t>
  </si>
  <si>
    <t>Agriculture</t>
  </si>
  <si>
    <t>https://ayeyarwady-agritech.mm</t>
  </si>
  <si>
    <t>Sagaing EdTech</t>
  </si>
  <si>
    <t>Education</t>
  </si>
  <si>
    <t>https://sagaing-edtech.mm</t>
  </si>
  <si>
    <t>Bago RetailTech</t>
  </si>
  <si>
    <t>Retail</t>
  </si>
  <si>
    <t>https://bago-retailtech.mm</t>
  </si>
  <si>
    <t>Myanmar E-Commerce</t>
  </si>
  <si>
    <t>E-commerce</t>
  </si>
  <si>
    <t>https://mm-ecommerce.mm</t>
  </si>
  <si>
    <t>Kachin LogiTech</t>
  </si>
  <si>
    <t>Logistics</t>
  </si>
  <si>
    <t>https://kachin-logitech.mm</t>
  </si>
  <si>
    <t>Shan AgriTech</t>
  </si>
  <si>
    <t>https://shan-agritech.mm</t>
  </si>
  <si>
    <t>Rakhine MarTech</t>
  </si>
  <si>
    <t>Marketing</t>
  </si>
  <si>
    <t>https://rakhine-martech.mm</t>
  </si>
  <si>
    <t>Mon InsurTech</t>
  </si>
  <si>
    <t>Insurance</t>
  </si>
  <si>
    <t>https://mon-insurtech.mm</t>
  </si>
  <si>
    <t>Kayin TravelTech</t>
  </si>
  <si>
    <t>Tourism</t>
  </si>
  <si>
    <t>https://kayin-traveltech.mm</t>
  </si>
  <si>
    <t>Magway EnergyTech</t>
  </si>
  <si>
    <t>Energy</t>
  </si>
  <si>
    <t>https://magway-energytech.mm</t>
  </si>
  <si>
    <t>Chin EduTech</t>
  </si>
  <si>
    <t>https://chin-edutech.mm</t>
  </si>
  <si>
    <t>Yangon PropTech</t>
  </si>
  <si>
    <t>Real Estate</t>
  </si>
  <si>
    <t>https://ygn-proptech.mm</t>
  </si>
  <si>
    <t>Mandalay AutoTech</t>
  </si>
  <si>
    <t>Automotive</t>
  </si>
  <si>
    <t>https://mdy-autotech.mm</t>
  </si>
  <si>
    <t>Ayeyarwady GovTech</t>
  </si>
  <si>
    <t>Government</t>
  </si>
  <si>
    <t>https://ayeyarwady-govtech.mm</t>
  </si>
  <si>
    <t>Sagaing HealthTech</t>
  </si>
  <si>
    <t>https://sagaing-healthtech.mm</t>
  </si>
  <si>
    <t>Bago LegalTech</t>
  </si>
  <si>
    <t>Legal</t>
  </si>
  <si>
    <t>https://bago-legaltech.mm</t>
  </si>
  <si>
    <t>Kayah MediaTech</t>
  </si>
  <si>
    <t>Media</t>
  </si>
  <si>
    <t>https://kayah-mediatech.mm</t>
  </si>
  <si>
    <t>Tanintharyi TravelTech</t>
  </si>
  <si>
    <t>https://tanintharyi-traveltech.mm</t>
  </si>
  <si>
    <t>Myanmar BankingTech</t>
  </si>
  <si>
    <t>https://mm-bankingtech.mm</t>
  </si>
  <si>
    <t>Rakhine FoodTech</t>
  </si>
  <si>
    <t>Food Production</t>
  </si>
  <si>
    <t>https://rakhine-foodtech.mm</t>
  </si>
  <si>
    <t>Shan ConstructionTech</t>
  </si>
  <si>
    <t>Construction</t>
  </si>
  <si>
    <t>https://shan-constructiontech.mm</t>
  </si>
  <si>
    <t>Mon HRTech</t>
  </si>
  <si>
    <t>Human Resources</t>
  </si>
  <si>
    <t>https://mon-hrtech.mm</t>
  </si>
  <si>
    <t>Kayin SportsTech</t>
  </si>
  <si>
    <t>Sports</t>
  </si>
  <si>
    <t>https://kayin-sportstech.mm</t>
  </si>
  <si>
    <t>Magway MiningTech</t>
  </si>
  <si>
    <t>Mining</t>
  </si>
  <si>
    <t>https://magway-miningtech.mm</t>
  </si>
  <si>
    <t>Chin FashionTech</t>
  </si>
  <si>
    <t>Fashion</t>
  </si>
  <si>
    <t>https://chin-fashiontech.mm</t>
  </si>
  <si>
    <t>Yangon AdTech</t>
  </si>
  <si>
    <t>Advertising</t>
  </si>
  <si>
    <t>https://ygn-adtech.mm</t>
  </si>
  <si>
    <t>Mandalay GameTech</t>
  </si>
  <si>
    <t>Gaming</t>
  </si>
  <si>
    <t>https://mdy-gametech.mm</t>
  </si>
  <si>
    <t>Ayeyarwady BioTech</t>
  </si>
  <si>
    <t>Biotechnology</t>
  </si>
  <si>
    <t>https://ayeyarwady-biotech.mm</t>
  </si>
  <si>
    <t>Sagaing CleanTech</t>
  </si>
  <si>
    <t>Environmental</t>
  </si>
  <si>
    <t>https://sagaing-cleantech.mm</t>
  </si>
  <si>
    <t>Bago MedTech</t>
  </si>
  <si>
    <t>Medical Devices</t>
  </si>
  <si>
    <t>https://bago-medtech.mm</t>
  </si>
  <si>
    <t>Kachin SpaceTech</t>
  </si>
  <si>
    <t>Research</t>
  </si>
  <si>
    <t>https://kachin-spacetech.mm</t>
  </si>
  <si>
    <t>Naypyidaw DeepTech</t>
  </si>
  <si>
    <t>https://npt-deeptech.mm</t>
  </si>
  <si>
    <t>skill_lists.1</t>
  </si>
  <si>
    <t>skill_id</t>
  </si>
  <si>
    <t>skill_name</t>
  </si>
  <si>
    <t>skill_category</t>
  </si>
  <si>
    <t>SQL</t>
  </si>
  <si>
    <t>Programming</t>
  </si>
  <si>
    <t>Python</t>
  </si>
  <si>
    <t>R</t>
  </si>
  <si>
    <t>Excel</t>
  </si>
  <si>
    <t>Tools</t>
  </si>
  <si>
    <t>Power BI</t>
  </si>
  <si>
    <t>Tableau</t>
  </si>
  <si>
    <t>Statistics</t>
  </si>
  <si>
    <t>Analytics</t>
  </si>
  <si>
    <t>Machine Learning</t>
  </si>
  <si>
    <t>Data Visualization</t>
  </si>
  <si>
    <t>Google Analytics</t>
  </si>
  <si>
    <t>Data Cleaning</t>
  </si>
  <si>
    <t>AWS</t>
  </si>
  <si>
    <t>Cloud</t>
  </si>
  <si>
    <t>Azure</t>
  </si>
  <si>
    <t>Spark</t>
  </si>
  <si>
    <t>Big Data</t>
  </si>
  <si>
    <t>SQL Server</t>
  </si>
  <si>
    <t>MySQL</t>
  </si>
  <si>
    <t>PostgreSQL</t>
  </si>
  <si>
    <t>Pandas</t>
  </si>
  <si>
    <t>NumPy</t>
  </si>
  <si>
    <t>Scikit-learn</t>
  </si>
  <si>
    <t>TensorFlow</t>
  </si>
  <si>
    <t>PyTorch</t>
  </si>
  <si>
    <t>Docker</t>
  </si>
  <si>
    <t>DevOps</t>
  </si>
  <si>
    <t>Git</t>
  </si>
  <si>
    <t>Java</t>
  </si>
  <si>
    <t>Senior Data Scientist</t>
  </si>
  <si>
    <t>Lead ML projects and build predictive models</t>
  </si>
  <si>
    <t>USD</t>
  </si>
  <si>
    <t>Hybrid</t>
  </si>
  <si>
    <t>Senior</t>
  </si>
  <si>
    <t>1</t>
  </si>
  <si>
    <t>Machine Learning Engineer</t>
  </si>
  <si>
    <t>Design and deploy ML systems in production</t>
  </si>
  <si>
    <t>Remote</t>
  </si>
  <si>
    <t>Senior Data Engineer</t>
  </si>
  <si>
    <t>Build scalable data pipelines and infrastructure</t>
  </si>
  <si>
    <t>Data Scientist</t>
  </si>
  <si>
    <t>Develop and implement machine learning models</t>
  </si>
  <si>
    <t>On-site</t>
  </si>
  <si>
    <t>Mid</t>
  </si>
  <si>
    <t>Data Engineer</t>
  </si>
  <si>
    <t>Design and maintain data systems</t>
  </si>
  <si>
    <t>Software Engineer</t>
  </si>
  <si>
    <t>Develop software applications and systems</t>
  </si>
  <si>
    <t>Cloud Engineer</t>
  </si>
  <si>
    <t>Design and manage cloud infrastructure</t>
  </si>
  <si>
    <t>Senior Data Analyst</t>
  </si>
  <si>
    <t>Analyze complex datasets and provide insights</t>
  </si>
  <si>
    <t>Business Analyst</t>
  </si>
  <si>
    <t>Analyze business processes and requirements</t>
  </si>
  <si>
    <t>Data Analyst</t>
  </si>
  <si>
    <t>Analyze data to support decision making</t>
  </si>
  <si>
    <t>Entry</t>
  </si>
  <si>
    <t>Architect data solutions for large datasets</t>
  </si>
  <si>
    <t>Build statistical models for business insights</t>
  </si>
  <si>
    <t>Implement ETL processes and data warehousing</t>
  </si>
  <si>
    <t>Develop and maintain software products</t>
  </si>
  <si>
    <t>Bridge gap between IT and business teams</t>
  </si>
  <si>
    <t>Create reports and visualizations from data</t>
  </si>
  <si>
    <t>Develop NLP and computer vision models</t>
  </si>
  <si>
    <t>Build recommendation systems</t>
  </si>
  <si>
    <t>Design real-time data processing systems</t>
  </si>
  <si>
    <t>Analyze agricultural data for insights</t>
  </si>
  <si>
    <t>Build data lakes and data marts</t>
  </si>
  <si>
    <t>Full-stack web development</t>
  </si>
  <si>
    <t>Advanced analytics and predictive modeling</t>
  </si>
  <si>
    <t>Requirement gathering and process mapping</t>
  </si>
  <si>
    <t>Data extraction, transformation and loading</t>
  </si>
  <si>
    <t>Time series forecasting and analysis</t>
  </si>
  <si>
    <t>Customer segmentation and clustering</t>
  </si>
  <si>
    <t>Database optimization and tuning</t>
  </si>
  <si>
    <t>Mobile app development</t>
  </si>
  <si>
    <t>Cloud cost optimization and management</t>
  </si>
  <si>
    <t>A/B testing and experimentation analysis</t>
  </si>
  <si>
    <t>Stakeholder management and documentation</t>
  </si>
  <si>
    <t>KPI tracking and performance reporting</t>
  </si>
  <si>
    <t>Fraud detection and anomaly detection</t>
  </si>
  <si>
    <t>Model training and hyperparameter tuning</t>
  </si>
  <si>
    <t>Data quality and governance implementation</t>
  </si>
  <si>
    <t>Sentiment analysis and text mining</t>
  </si>
  <si>
    <t>API development and integration</t>
  </si>
  <si>
    <t>Backend API development</t>
  </si>
  <si>
    <t>Cloud migration and modernization</t>
  </si>
  <si>
    <t>Business intelligence and reporting</t>
  </si>
  <si>
    <t>Agile methodology and sprint planning</t>
  </si>
  <si>
    <t>Data mining and pattern recognition</t>
  </si>
  <si>
    <t>Grand Total</t>
  </si>
  <si>
    <t>Top 5 Job Titles</t>
  </si>
  <si>
    <t>Count of job_id</t>
  </si>
  <si>
    <t>Experience Level</t>
  </si>
  <si>
    <t>% of Data Job</t>
  </si>
  <si>
    <t xml:space="preserve"> Python</t>
  </si>
  <si>
    <t xml:space="preserve"> TensorFlow</t>
  </si>
  <si>
    <t xml:space="preserve"> Scikit-learn</t>
  </si>
  <si>
    <t xml:space="preserve"> SQL</t>
  </si>
  <si>
    <t xml:space="preserve"> Statistics</t>
  </si>
  <si>
    <t xml:space="preserve"> MySQL</t>
  </si>
  <si>
    <t xml:space="preserve"> Azure</t>
  </si>
  <si>
    <t xml:space="preserve"> Docker</t>
  </si>
  <si>
    <t xml:space="preserve"> Power BI</t>
  </si>
  <si>
    <t xml:space="preserve"> PyTorch</t>
  </si>
  <si>
    <t xml:space="preserve"> Spark</t>
  </si>
  <si>
    <t xml:space="preserve"> Java</t>
  </si>
  <si>
    <t xml:space="preserve"> Tableau</t>
  </si>
  <si>
    <t xml:space="preserve"> Google Analytics</t>
  </si>
  <si>
    <t xml:space="preserve"> Excel</t>
  </si>
  <si>
    <t xml:space="preserve"> PostgreSQL</t>
  </si>
  <si>
    <t xml:space="preserve"> SQL Server</t>
  </si>
  <si>
    <t>Region</t>
  </si>
  <si>
    <t>Skills</t>
  </si>
  <si>
    <t>Data Job Market Analysis Dashboard</t>
  </si>
  <si>
    <t>OpenAI</t>
  </si>
  <si>
    <t>Artificial Intelligence</t>
  </si>
  <si>
    <t>1000+</t>
  </si>
  <si>
    <t>https://openai.com</t>
  </si>
  <si>
    <t>skill_list.job_id</t>
  </si>
  <si>
    <t>skill_list.company_id</t>
  </si>
  <si>
    <t>skill_list.job_title</t>
  </si>
  <si>
    <t>skill_list.job_description</t>
  </si>
  <si>
    <t>skill_list.salary_min</t>
  </si>
  <si>
    <t>skill_list.salary_max</t>
  </si>
  <si>
    <t>skill_list.salary_currency</t>
  </si>
  <si>
    <t>skill_list.job_location</t>
  </si>
  <si>
    <t>skill_list.job_type</t>
  </si>
  <si>
    <t>skill_list.experience_level</t>
  </si>
  <si>
    <t>skill_list.application_deadline</t>
  </si>
  <si>
    <t>skill_list.posting_date</t>
  </si>
  <si>
    <t>skill_list.is_active</t>
  </si>
  <si>
    <t>skill_list.applications.application_id</t>
  </si>
  <si>
    <t>skill_list.applications.applicant_name</t>
  </si>
  <si>
    <t>skill_list.applications.applicant_email</t>
  </si>
  <si>
    <t>skill_list.applications.application_date</t>
  </si>
  <si>
    <t>skill_list.applications.resume_file_path</t>
  </si>
  <si>
    <t>skill_list.applications.cover_letter_text</t>
  </si>
  <si>
    <t>skill_list.applications.application_status</t>
  </si>
  <si>
    <t>skill_list.applications.status_updated_date</t>
  </si>
  <si>
    <t>skill_list.companies.company_id</t>
  </si>
  <si>
    <t>skill_list.companies.company_name</t>
  </si>
  <si>
    <t>skill_list.companies.industry</t>
  </si>
  <si>
    <t>skill_list.companies.company_size</t>
  </si>
  <si>
    <t>skill_list.companies.headquarters_location</t>
  </si>
  <si>
    <t>skill_list.companies.website</t>
  </si>
  <si>
    <t>skill_list.companies.created_date</t>
  </si>
  <si>
    <t>skill_lists</t>
  </si>
  <si>
    <t xml:space="preserve"> Python,  TensorFlow, Machine Learning</t>
  </si>
  <si>
    <t xml:space="preserve"> Scikit-learn,  TensorFlow, Python</t>
  </si>
  <si>
    <t xml:space="preserve"> Python,  SQL, AWS</t>
  </si>
  <si>
    <t xml:space="preserve"> Scikit-learn,  Statistics, Python</t>
  </si>
  <si>
    <t xml:space="preserve"> MySQL,  SQL, Docker</t>
  </si>
  <si>
    <t xml:space="preserve"> Python, Java</t>
  </si>
  <si>
    <t xml:space="preserve"> Azure,  Docker, AWS</t>
  </si>
  <si>
    <t xml:space="preserve"> Power BI,  SQL, Excel</t>
  </si>
  <si>
    <t xml:space="preserve"> Statistics, Excel</t>
  </si>
  <si>
    <t xml:space="preserve"> SQL, Excel</t>
  </si>
  <si>
    <t>Lead AI research and development</t>
  </si>
  <si>
    <t xml:space="preserve"> PyTorch,  Python, Machine Learning</t>
  </si>
  <si>
    <t>Optimize ML algorithms for performance</t>
  </si>
  <si>
    <t xml:space="preserve"> Python,  Scikit-learn, Machine Learning</t>
  </si>
  <si>
    <t xml:space="preserve"> SQL,  Spark, AWS</t>
  </si>
  <si>
    <t xml:space="preserve"> Python,  Statistics, Pandas</t>
  </si>
  <si>
    <t xml:space="preserve"> Java,  Python, Git</t>
  </si>
  <si>
    <t>Manage multi-cloud environments and security</t>
  </si>
  <si>
    <t>Lead analytics projects and dashboard development</t>
  </si>
  <si>
    <t xml:space="preserve"> SQL,  Tableau, Power BI</t>
  </si>
  <si>
    <t xml:space="preserve"> Google Analytics,  Statistics, Excel</t>
  </si>
  <si>
    <t xml:space="preserve"> Excel,  SQL, Data Cleaning</t>
  </si>
  <si>
    <t xml:space="preserve"> PostgreSQL,  SQL, Docker</t>
  </si>
  <si>
    <t>Implement DevOps and CI/CD pipelines</t>
  </si>
  <si>
    <t xml:space="preserve"> SQL,  Statistics, Power BI</t>
  </si>
  <si>
    <t>ML model deployment and monitoring</t>
  </si>
  <si>
    <t>Big data processing with Spark and Hadoop</t>
  </si>
  <si>
    <t xml:space="preserve"> SQL,  SQL Server, Docker</t>
  </si>
  <si>
    <t>Average of skill_list.salary_max</t>
  </si>
  <si>
    <t>Count of skill_list.job_location</t>
  </si>
  <si>
    <t>AI TECH X</t>
  </si>
  <si>
    <t>https://ai.com</t>
  </si>
  <si>
    <t>Row Labels</t>
  </si>
  <si>
    <t>Location → Yangon leads (7 postings)</t>
  </si>
  <si>
    <t>Top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</si>
</sst>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_-[$€-2]\ * #,##0_-;\-[$€-2]\ * #,##0_-;_-[$€-2]\ * &quot;-&quot;??_-;_-@_-"/>
    <numFmt numFmtId="165" formatCode="_-[$£-809]* #,##0_-;\-[$£-809]* #,##0_-;_-[$£-809]* &quot;-&quot;??_-;_-@_-"/>
  </numFmts>
  <fonts count="5">
    <font>
      <sz val="11"/>
      <color theme="1"/>
      <name val="Aptos Narrow"/>
      <family val="2"/>
      <scheme val="minor"/>
    </font>
    <font>
      <sz val="8"/>
      <name val="Aptos Narrow"/>
      <family val="2"/>
      <scheme val="minor"/>
    </font>
    <font>
      <sz val="11"/>
      <color theme="3"/>
      <name val="Aptos Narrow"/>
      <family val="2"/>
      <scheme val="minor"/>
    </font>
    <font>
      <b/>
      <sz val="28"/>
      <color theme="3"/>
      <name val="Aptos Narrow"/>
      <family val="2"/>
      <scheme val="minor"/>
    </font>
    <font>
      <sz val="8"/>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44" fontId="0" fillId="0" borderId="0" xfId="0" applyNumberFormat="1"/>
    <xf numFmtId="9" fontId="0" fillId="0" borderId="0" xfId="0" applyNumberFormat="1"/>
    <xf numFmtId="164" fontId="0" fillId="0" borderId="0" xfId="0" applyNumberFormat="1"/>
    <xf numFmtId="0" fontId="2" fillId="0" borderId="0" xfId="0" applyFont="1"/>
    <xf numFmtId="0" fontId="3" fillId="0" borderId="0" xfId="0" applyFont="1"/>
    <xf numFmtId="165" fontId="0" fillId="0" borderId="0" xfId="0" applyNumberFormat="1"/>
    <xf numFmtId="0" fontId="0" fillId="0" borderId="0" xfId="0" applyNumberFormat="1"/>
    <xf numFmtId="0" fontId="4" fillId="0" borderId="0" xfId="0" applyFont="1" applyAlignment="1">
      <alignment vertical="center"/>
    </xf>
  </cellXfs>
  <cellStyles count="1">
    <cellStyle name="Normal" xfId="0" builtinId="0"/>
  </cellStyles>
  <dxfs count="92">
    <dxf>
      <numFmt numFmtId="13" formatCode="0%"/>
    </dxf>
    <dxf>
      <numFmt numFmtId="13" formatCode="0%"/>
    </dxf>
    <dxf>
      <numFmt numFmtId="34" formatCode="_-&quot;$&quot;* #,##0.00_-;\-&quot;$&quot;* #,##0.00_-;_-&quot;$&quot;* &quot;-&quot;??_-;_-@_-"/>
    </dxf>
    <dxf>
      <numFmt numFmtId="166" formatCode="_-[$£-809]* #,##0.00_-;\-[$£-809]* #,##0.00_-;_-[$£-809]* &quot;-&quot;??_-;_-@_-"/>
    </dxf>
    <dxf>
      <numFmt numFmtId="164" formatCode="_-[$€-2]\ * #,##0_-;\-[$€-2]\ * #,##0_-;_-[$€-2]\ * &quot;-&quot;??_-;_-@_-"/>
    </dxf>
    <dxf>
      <numFmt numFmtId="13" formatCode="0%"/>
    </dxf>
    <dxf>
      <numFmt numFmtId="13" formatCode="0%"/>
    </dxf>
    <dxf>
      <numFmt numFmtId="34" formatCode="_-&quot;$&quot;* #,##0.00_-;\-&quot;$&quot;* #,##0.00_-;_-&quot;$&quot;* &quot;-&quot;??_-;_-@_-"/>
    </dxf>
    <dxf>
      <numFmt numFmtId="166" formatCode="_-[$£-809]* #,##0.00_-;\-[$£-809]* #,##0.00_-;_-[$£-809]* &quot;-&quot;??_-;_-@_-"/>
    </dxf>
    <dxf>
      <numFmt numFmtId="164" formatCode="_-[$€-2]\ * #,##0_-;\-[$€-2]\ * #,##0_-;_-[$€-2]\ * &quot;-&quot;??_-;_-@_-"/>
    </dxf>
    <dxf>
      <numFmt numFmtId="13" formatCode="0%"/>
    </dxf>
    <dxf>
      <numFmt numFmtId="13" formatCode="0%"/>
    </dxf>
    <dxf>
      <numFmt numFmtId="34" formatCode="_-&quot;$&quot;* #,##0.00_-;\-&quot;$&quot;* #,##0.00_-;_-&quot;$&quot;* &quot;-&quot;??_-;_-@_-"/>
    </dxf>
    <dxf>
      <numFmt numFmtId="166" formatCode="_-[$£-809]* #,##0.00_-;\-[$£-809]* #,##0.00_-;_-[$£-809]* &quot;-&quot;??_-;_-@_-"/>
    </dxf>
    <dxf>
      <numFmt numFmtId="164" formatCode="_-[$€-2]\ * #,##0_-;\-[$€-2]\ * #,##0_-;_-[$€-2]\ * &quot;-&quot;??_-;_-@_-"/>
    </dxf>
    <dxf>
      <numFmt numFmtId="13" formatCode="0%"/>
    </dxf>
    <dxf>
      <numFmt numFmtId="13" formatCode="0%"/>
    </dxf>
    <dxf>
      <numFmt numFmtId="34" formatCode="_-&quot;$&quot;* #,##0.00_-;\-&quot;$&quot;* #,##0.00_-;_-&quot;$&quot;* &quot;-&quot;??_-;_-@_-"/>
    </dxf>
    <dxf>
      <numFmt numFmtId="166" formatCode="_-[$£-809]* #,##0.00_-;\-[$£-809]* #,##0.00_-;_-[$£-809]* &quot;-&quot;??_-;_-@_-"/>
    </dxf>
    <dxf>
      <numFmt numFmtId="164" formatCode="_-[$€-2]\ * #,##0_-;\-[$€-2]\ * #,##0_-;_-[$€-2]\ * &quot;-&quot;??_-;_-@_-"/>
    </dxf>
    <dxf>
      <numFmt numFmtId="13" formatCode="0%"/>
    </dxf>
    <dxf>
      <numFmt numFmtId="13" formatCode="0%"/>
    </dxf>
    <dxf>
      <numFmt numFmtId="34" formatCode="_-&quot;$&quot;* #,##0.00_-;\-&quot;$&quot;* #,##0.00_-;_-&quot;$&quot;* &quot;-&quot;??_-;_-@_-"/>
    </dxf>
    <dxf>
      <numFmt numFmtId="166" formatCode="_-[$£-809]* #,##0.00_-;\-[$£-809]* #,##0.00_-;_-[$£-809]* &quot;-&quot;??_-;_-@_-"/>
    </dxf>
    <dxf>
      <numFmt numFmtId="164" formatCode="_-[$€-2]\ * #,##0_-;\-[$€-2]\ * #,##0_-;_-[$€-2]\ * &quot;-&quot;??_-;_-@_-"/>
    </dxf>
    <dxf>
      <numFmt numFmtId="13" formatCode="0%"/>
    </dxf>
    <dxf>
      <numFmt numFmtId="13" formatCode="0%"/>
    </dxf>
    <dxf>
      <numFmt numFmtId="34" formatCode="_-&quot;$&quot;* #,##0.00_-;\-&quot;$&quot;* #,##0.00_-;_-&quot;$&quot;* &quot;-&quot;??_-;_-@_-"/>
    </dxf>
    <dxf>
      <numFmt numFmtId="166" formatCode="_-[$£-809]* #,##0.00_-;\-[$£-809]* #,##0.00_-;_-[$£-809]* &quot;-&quot;??_-;_-@_-"/>
    </dxf>
    <dxf>
      <numFmt numFmtId="164" formatCode="_-[$€-2]\ * #,##0_-;\-[$€-2]\ * #,##0_-;_-[$€-2]\ * &quot;-&quot;??_-;_-@_-"/>
    </dxf>
    <dxf>
      <numFmt numFmtId="13" formatCode="0%"/>
    </dxf>
    <dxf>
      <numFmt numFmtId="13" formatCode="0%"/>
    </dxf>
    <dxf>
      <numFmt numFmtId="34" formatCode="_-&quot;$&quot;* #,##0.00_-;\-&quot;$&quot;* #,##0.00_-;_-&quot;$&quot;* &quot;-&quot;??_-;_-@_-"/>
    </dxf>
    <dxf>
      <numFmt numFmtId="166" formatCode="_-[$£-809]* #,##0.00_-;\-[$£-809]* #,##0.00_-;_-[$£-809]* &quot;-&quot;??_-;_-@_-"/>
    </dxf>
    <dxf>
      <numFmt numFmtId="164" formatCode="_-[$€-2]\ * #,##0_-;\-[$€-2]\ * #,##0_-;_-[$€-2]\ * &quot;-&quot;??_-;_-@_-"/>
    </dxf>
    <dxf>
      <numFmt numFmtId="13" formatCode="0%"/>
    </dxf>
    <dxf>
      <numFmt numFmtId="13" formatCode="0%"/>
    </dxf>
    <dxf>
      <numFmt numFmtId="34" formatCode="_-&quot;$&quot;* #,##0.00_-;\-&quot;$&quot;* #,##0.00_-;_-&quot;$&quot;* &quot;-&quot;??_-;_-@_-"/>
    </dxf>
    <dxf>
      <numFmt numFmtId="166" formatCode="_-[$£-809]* #,##0.00_-;\-[$£-809]* #,##0.00_-;_-[$£-809]* &quot;-&quot;??_-;_-@_-"/>
    </dxf>
    <dxf>
      <numFmt numFmtId="164" formatCode="_-[$€-2]\ * #,##0_-;\-[$€-2]\ * #,##0_-;_-[$€-2]\ * &quot;-&quot;??_-;_-@_-"/>
    </dxf>
    <dxf>
      <numFmt numFmtId="13" formatCode="0%"/>
    </dxf>
    <dxf>
      <numFmt numFmtId="13" formatCode="0%"/>
    </dxf>
    <dxf>
      <numFmt numFmtId="34" formatCode="_-&quot;$&quot;* #,##0.00_-;\-&quot;$&quot;* #,##0.00_-;_-&quot;$&quot;* &quot;-&quot;??_-;_-@_-"/>
    </dxf>
    <dxf>
      <numFmt numFmtId="166" formatCode="_-[$£-809]* #,##0.00_-;\-[$£-809]* #,##0.00_-;_-[$£-809]* &quot;-&quot;??_-;_-@_-"/>
    </dxf>
    <dxf>
      <numFmt numFmtId="164" formatCode="_-[$€-2]\ * #,##0_-;\-[$€-2]\ * #,##0_-;_-[$€-2]\ * &quot;-&quot;??_-;_-@_-"/>
    </dxf>
    <dxf>
      <numFmt numFmtId="13" formatCode="0%"/>
    </dxf>
    <dxf>
      <numFmt numFmtId="13" formatCode="0%"/>
    </dxf>
    <dxf>
      <numFmt numFmtId="34" formatCode="_-&quot;$&quot;* #,##0.00_-;\-&quot;$&quot;* #,##0.00_-;_-&quot;$&quot;* &quot;-&quot;??_-;_-@_-"/>
    </dxf>
    <dxf>
      <numFmt numFmtId="166" formatCode="_-[$£-809]* #,##0.00_-;\-[$£-809]* #,##0.00_-;_-[$£-809]* &quot;-&quot;??_-;_-@_-"/>
    </dxf>
    <dxf>
      <numFmt numFmtId="164" formatCode="_-[$€-2]\ * #,##0_-;\-[$€-2]\ * #,##0_-;_-[$€-2]\ * &quot;-&quot;??_-;_-@_-"/>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border>
        <bottom style="thin">
          <color theme="4"/>
        </bottom>
        <vertical/>
        <horizontal/>
      </border>
    </dxf>
    <dxf>
      <font>
        <color theme="0"/>
      </font>
      <fill>
        <patternFill>
          <bgColor theme="3"/>
        </patternFill>
      </fill>
      <border diagonalUp="0" diagonalDown="0">
        <left style="thin">
          <color theme="0"/>
        </left>
        <right style="thin">
          <color theme="0"/>
        </right>
        <top style="thin">
          <color theme="0"/>
        </top>
        <bottom style="thin">
          <color theme="0"/>
        </bottom>
        <vertical/>
        <horizontal/>
      </border>
    </dxf>
    <dxf>
      <font>
        <color theme="0"/>
      </font>
    </dxf>
    <dxf>
      <font>
        <name val="Aptos Display"/>
        <family val="2"/>
        <scheme val="major"/>
      </font>
    </dxf>
  </dxfs>
  <tableStyles count="4" defaultTableStyle="TableStyleMedium2" defaultPivotStyle="PivotStyleLight16">
    <tableStyle name="Slicer Style 1" pivot="0" table="0" count="0" xr9:uid="{8D7CF06F-E539-46B3-9044-E96DC520F7EA}"/>
    <tableStyle name="Slicer Style 3" pivot="0" table="0" count="1" xr9:uid="{6D8D3E24-B5EE-4267-B314-62C23D00C864}">
      <tableStyleElement type="wholeTable" dxfId="91"/>
    </tableStyle>
    <tableStyle name="Slicer Style 4" pivot="0" table="0" count="1" xr9:uid="{4091D79A-6167-4F5E-95FA-1BAA25784BCE}">
      <tableStyleElement type="wholeTable" dxfId="90"/>
    </tableStyle>
    <tableStyle name="SlicerStyleDark1 2" pivot="0" table="0" count="10" xr9:uid="{06A42984-AC05-4DB9-9B1C-CFF8E4E1C55A}">
      <tableStyleElement type="wholeTable" dxfId="89"/>
      <tableStyleElement type="headerRow" dxfId="8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3" tint="0.89996032593768116"/>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 Style 3"/>
        <x14:slicerStyle name="Slicer Style 4"/>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[data_job_analyssi_dashboard.xlsx]pivot_table!PivotTable1</c:name>
    <c:fmtId val="0"/>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US"/>
              <a:t>Highest-Paid Data Roles </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c:f>
              <c:strCache>
                <c:ptCount val="1"/>
                <c:pt idx="0">
                  <c:v>Total</c:v>
                </c:pt>
              </c:strCache>
            </c:strRef>
          </c:tx>
          <c:spPr>
            <a:solidFill>
              <a:schemeClr val="bg1"/>
            </a:solidFill>
            <a:ln>
              <a:noFill/>
            </a:ln>
            <a:effectLst/>
          </c:spPr>
          <c:invertIfNegative val="0"/>
          <c:cat>
            <c:strRef>
              <c:f>pivot_table!$A$2:$A$7</c:f>
              <c:strCache>
                <c:ptCount val="5"/>
                <c:pt idx="0">
                  <c:v>Senior Data Scientist</c:v>
                </c:pt>
                <c:pt idx="1">
                  <c:v>Machine Learning Engineer</c:v>
                </c:pt>
                <c:pt idx="2">
                  <c:v>Senior Data Engineer</c:v>
                </c:pt>
                <c:pt idx="3">
                  <c:v>Cloud Engineer</c:v>
                </c:pt>
                <c:pt idx="4">
                  <c:v>Senior Data Analyst</c:v>
                </c:pt>
              </c:strCache>
            </c:strRef>
          </c:cat>
          <c:val>
            <c:numRef>
              <c:f>pivot_table!$B$2:$B$7</c:f>
              <c:numCache>
                <c:formatCode>_-[$€-2]\ * #,##0_-;\-[$€-2]\ * #,##0_-;_-[$€-2]\ * "-"??_-;_-@_-</c:formatCode>
                <c:ptCount val="5"/>
                <c:pt idx="0">
                  <c:v>2450</c:v>
                </c:pt>
                <c:pt idx="1">
                  <c:v>2220</c:v>
                </c:pt>
                <c:pt idx="2">
                  <c:v>2026</c:v>
                </c:pt>
                <c:pt idx="3">
                  <c:v>1780</c:v>
                </c:pt>
                <c:pt idx="4">
                  <c:v>1600</c:v>
                </c:pt>
              </c:numCache>
            </c:numRef>
          </c:val>
          <c:extLst>
            <c:ext xmlns:c16="http://schemas.microsoft.com/office/drawing/2014/chart" uri="{C3380CC4-5D6E-409C-BE32-E72D297353CC}">
              <c16:uniqueId val="{00000003-413E-494B-A576-4A84A6437368}"/>
            </c:ext>
          </c:extLst>
        </c:ser>
        <c:dLbls>
          <c:showLegendKey val="0"/>
          <c:showVal val="0"/>
          <c:showCatName val="0"/>
          <c:showSerName val="0"/>
          <c:showPercent val="0"/>
          <c:showBubbleSize val="0"/>
        </c:dLbls>
        <c:gapWidth val="219"/>
        <c:axId val="716521408"/>
        <c:axId val="716519008"/>
      </c:barChart>
      <c:catAx>
        <c:axId val="716521408"/>
        <c:scaling>
          <c:orientation val="minMax"/>
        </c:scaling>
        <c:delete val="0"/>
        <c:axPos val="b"/>
        <c:title>
          <c:tx>
            <c:rich>
              <a:bodyPr rot="0" spcFirstLastPara="1" vertOverflow="ellipsis" vert="horz" wrap="square" anchor="ctr" anchorCtr="1"/>
              <a:lstStyle/>
              <a:p>
                <a:pPr>
                  <a:defRPr sz="1000" b="0" i="0" u="none" strike="noStrike" kern="1200" cap="all" baseline="0">
                    <a:solidFill>
                      <a:schemeClr val="bg1"/>
                    </a:solidFill>
                    <a:latin typeface="+mn-lt"/>
                    <a:ea typeface="+mn-ea"/>
                    <a:cs typeface="+mn-cs"/>
                  </a:defRPr>
                </a:pPr>
                <a:r>
                  <a:rPr lang="en-US" cap="all" baseline="0"/>
                  <a:t>Job title</a:t>
                </a:r>
              </a:p>
            </c:rich>
          </c:tx>
          <c:overlay val="0"/>
          <c:spPr>
            <a:noFill/>
            <a:ln>
              <a:noFill/>
            </a:ln>
            <a:effectLst/>
          </c:spPr>
          <c:txPr>
            <a:bodyPr rot="0" spcFirstLastPara="1" vertOverflow="ellipsis" vert="horz" wrap="square" anchor="ctr" anchorCtr="1"/>
            <a:lstStyle/>
            <a:p>
              <a:pPr>
                <a:defRPr sz="10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6519008"/>
        <c:crosses val="autoZero"/>
        <c:auto val="1"/>
        <c:lblAlgn val="ctr"/>
        <c:lblOffset val="100"/>
        <c:noMultiLvlLbl val="0"/>
      </c:catAx>
      <c:valAx>
        <c:axId val="716519008"/>
        <c:scaling>
          <c:orientation val="minMax"/>
          <c:max val="2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cap="all" baseline="0">
                    <a:solidFill>
                      <a:schemeClr val="bg1"/>
                    </a:solidFill>
                    <a:latin typeface="+mn-lt"/>
                    <a:ea typeface="+mn-ea"/>
                    <a:cs typeface="+mn-cs"/>
                  </a:defRPr>
                </a:pPr>
                <a:r>
                  <a:rPr lang="en-US" cap="all" baseline="0"/>
                  <a:t>Average ax salary</a:t>
                </a:r>
              </a:p>
            </c:rich>
          </c:tx>
          <c:overlay val="0"/>
          <c:spPr>
            <a:noFill/>
            <a:ln>
              <a:noFill/>
            </a:ln>
            <a:effectLst/>
          </c:spPr>
          <c:txPr>
            <a:bodyPr rot="-5400000" spcFirstLastPara="1" vertOverflow="ellipsis" vert="horz" wrap="square" anchor="ctr" anchorCtr="1"/>
            <a:lstStyle/>
            <a:p>
              <a:pPr>
                <a:defRPr sz="1000" b="0" i="0" u="none" strike="noStrike" kern="1200" cap="all" baseline="0">
                  <a:solidFill>
                    <a:schemeClr val="bg1"/>
                  </a:solidFill>
                  <a:latin typeface="+mn-lt"/>
                  <a:ea typeface="+mn-ea"/>
                  <a:cs typeface="+mn-cs"/>
                </a:defRPr>
              </a:pPr>
              <a:endParaRPr lang="en-US"/>
            </a:p>
          </c:txPr>
        </c:title>
        <c:numFmt formatCode="_-[$€-2]\ * #,##0_-;\-[$€-2]\ * #,##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6521408"/>
        <c:crosses val="autoZero"/>
        <c:crossBetween val="between"/>
      </c:valAx>
      <c:dTable>
        <c:showHorzBorder val="1"/>
        <c:showVertBorder val="1"/>
        <c:showOutline val="1"/>
        <c:showKeys val="1"/>
        <c:spPr>
          <a:noFill/>
          <a:ln w="25400" cap="flat" cmpd="sng" algn="ctr">
            <a:no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[data_job_analyssi_dashboard.xlsx]pivot_table!PivotTable3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effectLst/>
              </a:rPr>
              <a:t>Job Postings by Experience Level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w="19050">
            <a:solidFill>
              <a:schemeClr val="lt1"/>
            </a:solidFill>
          </a:ln>
          <a:effectLst/>
        </c:spPr>
        <c:dLbl>
          <c:idx val="0"/>
          <c:layout>
            <c:manualLayout>
              <c:x val="0.13080818022747157"/>
              <c:y val="-9.954906678331874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w="19050">
            <a:solidFill>
              <a:schemeClr val="lt1"/>
            </a:solidFill>
          </a:ln>
          <a:effectLst/>
        </c:spPr>
        <c:dLbl>
          <c:idx val="0"/>
          <c:layout>
            <c:manualLayout>
              <c:x val="0.13080818022747157"/>
              <c:y val="-9.954906678331874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w="19050">
            <a:solidFill>
              <a:schemeClr val="lt1"/>
            </a:solidFill>
          </a:ln>
          <a:effectLst/>
        </c:spPr>
        <c:dLbl>
          <c:idx val="0"/>
          <c:layout>
            <c:manualLayout>
              <c:x val="0.13080818022747157"/>
              <c:y val="-9.954906678331874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pivot_table!$B$22</c:f>
              <c:strCache>
                <c:ptCount val="1"/>
                <c:pt idx="0">
                  <c:v>Total</c:v>
                </c:pt>
              </c:strCache>
            </c:strRef>
          </c:tx>
          <c:dPt>
            <c:idx val="0"/>
            <c:bubble3D val="0"/>
            <c:spPr>
              <a:solidFill>
                <a:schemeClr val="accent1">
                  <a:lumMod val="20000"/>
                  <a:lumOff val="80000"/>
                </a:schemeClr>
              </a:solidFill>
              <a:ln w="19050">
                <a:solidFill>
                  <a:schemeClr val="lt1"/>
                </a:solidFill>
              </a:ln>
              <a:effectLst/>
            </c:spPr>
          </c:dPt>
          <c:dPt>
            <c:idx val="1"/>
            <c:bubble3D val="0"/>
            <c:spPr>
              <a:solidFill>
                <a:schemeClr val="accent1">
                  <a:lumMod val="20000"/>
                  <a:lumOff val="80000"/>
                </a:schemeClr>
              </a:solidFill>
              <a:ln w="19050">
                <a:solidFill>
                  <a:schemeClr val="lt1"/>
                </a:solidFill>
              </a:ln>
              <a:effectLst/>
            </c:spPr>
          </c:dPt>
          <c:dPt>
            <c:idx val="2"/>
            <c:bubble3D val="0"/>
            <c:spPr>
              <a:solidFill>
                <a:schemeClr val="accent1">
                  <a:lumMod val="20000"/>
                  <a:lumOff val="80000"/>
                </a:schemeClr>
              </a:solidFill>
              <a:ln w="19050">
                <a:solidFill>
                  <a:schemeClr val="lt1"/>
                </a:solidFill>
              </a:ln>
              <a:effectLst/>
            </c:spPr>
          </c:dPt>
          <c:dLbls>
            <c:dLbl>
              <c:idx val="0"/>
              <c:layout>
                <c:manualLayout>
                  <c:x val="0.13080818022747157"/>
                  <c:y val="-9.9549066783318749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3080818022747157"/>
                  <c:y val="-9.9549066783318749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13080818022747157"/>
                  <c:y val="-9.9549066783318749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pivot_table!$A$23:$A$26</c:f>
              <c:strCache>
                <c:ptCount val="3"/>
                <c:pt idx="0">
                  <c:v>Entry</c:v>
                </c:pt>
                <c:pt idx="1">
                  <c:v>Mid</c:v>
                </c:pt>
                <c:pt idx="2">
                  <c:v>Senior</c:v>
                </c:pt>
              </c:strCache>
            </c:strRef>
          </c:cat>
          <c:val>
            <c:numRef>
              <c:f>pivot_table!$B$23:$B$26</c:f>
              <c:numCache>
                <c:formatCode>0%</c:formatCode>
                <c:ptCount val="3"/>
                <c:pt idx="0">
                  <c:v>0.1</c:v>
                </c:pt>
                <c:pt idx="1">
                  <c:v>0.4</c:v>
                </c:pt>
                <c:pt idx="2">
                  <c:v>0.5</c:v>
                </c:pt>
              </c:numCache>
            </c:numRef>
          </c:val>
          <c:extLst>
            <c:ext xmlns:c16="http://schemas.microsoft.com/office/drawing/2014/chart" uri="{C3380CC4-5D6E-409C-BE32-E72D297353CC}">
              <c16:uniqueId val="{00000009-B8C0-47FA-9652-E236642645A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[data_job_analyssi_dashboard.xlsx]pivot_table!PivotTable5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r>
              <a:rPr lang="en-US"/>
              <a:t>To</a:t>
            </a:r>
            <a:r>
              <a:rPr lang="en-US">
                <a:effectLst/>
              </a:rPr>
              <a:t>Top 10 Most In-Demand Skills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pivot_table!$B$44</c:f>
              <c:strCache>
                <c:ptCount val="1"/>
                <c:pt idx="0">
                  <c:v>Total</c:v>
                </c:pt>
              </c:strCache>
            </c:strRef>
          </c:tx>
          <c:spPr>
            <a:solidFill>
              <a:schemeClr val="bg1"/>
            </a:solidFill>
            <a:ln>
              <a:noFill/>
            </a:ln>
            <a:effectLst/>
          </c:spPr>
          <c:invertIfNegative val="0"/>
          <c:cat>
            <c:strRef>
              <c:f>pivot_table!$A$45:$A$55</c:f>
              <c:strCache>
                <c:ptCount val="10"/>
                <c:pt idx="0">
                  <c:v> SQL</c:v>
                </c:pt>
                <c:pt idx="1">
                  <c:v> Python</c:v>
                </c:pt>
                <c:pt idx="2">
                  <c:v> Statistics</c:v>
                </c:pt>
                <c:pt idx="3">
                  <c:v>AWS</c:v>
                </c:pt>
                <c:pt idx="4">
                  <c:v>Machine Learning</c:v>
                </c:pt>
                <c:pt idx="5">
                  <c:v>Excel</c:v>
                </c:pt>
                <c:pt idx="6">
                  <c:v> Scikit-learn</c:v>
                </c:pt>
                <c:pt idx="7">
                  <c:v>Docker</c:v>
                </c:pt>
                <c:pt idx="8">
                  <c:v> Azure</c:v>
                </c:pt>
                <c:pt idx="9">
                  <c:v> Docker</c:v>
                </c:pt>
              </c:strCache>
            </c:strRef>
          </c:cat>
          <c:val>
            <c:numRef>
              <c:f>pivot_table!$B$45:$B$55</c:f>
              <c:numCache>
                <c:formatCode>General</c:formatCode>
                <c:ptCount val="10"/>
                <c:pt idx="0">
                  <c:v>20</c:v>
                </c:pt>
                <c:pt idx="1">
                  <c:v>19</c:v>
                </c:pt>
                <c:pt idx="2">
                  <c:v>12</c:v>
                </c:pt>
                <c:pt idx="3">
                  <c:v>10</c:v>
                </c:pt>
                <c:pt idx="4">
                  <c:v>9</c:v>
                </c:pt>
                <c:pt idx="5">
                  <c:v>7</c:v>
                </c:pt>
                <c:pt idx="6">
                  <c:v>6</c:v>
                </c:pt>
                <c:pt idx="7">
                  <c:v>5</c:v>
                </c:pt>
                <c:pt idx="8">
                  <c:v>5</c:v>
                </c:pt>
                <c:pt idx="9">
                  <c:v>5</c:v>
                </c:pt>
              </c:numCache>
            </c:numRef>
          </c:val>
          <c:extLst>
            <c:ext xmlns:c16="http://schemas.microsoft.com/office/drawing/2014/chart" uri="{C3380CC4-5D6E-409C-BE32-E72D297353CC}">
              <c16:uniqueId val="{00000003-47E7-464C-8B06-C79E0B1E0A6B}"/>
            </c:ext>
          </c:extLst>
        </c:ser>
        <c:dLbls>
          <c:showLegendKey val="0"/>
          <c:showVal val="0"/>
          <c:showCatName val="0"/>
          <c:showSerName val="0"/>
          <c:showPercent val="0"/>
          <c:showBubbleSize val="0"/>
        </c:dLbls>
        <c:gapWidth val="182"/>
        <c:axId val="2007586304"/>
        <c:axId val="2007585824"/>
      </c:barChart>
      <c:catAx>
        <c:axId val="2007586304"/>
        <c:scaling>
          <c:orientation val="minMax"/>
        </c:scaling>
        <c:delete val="0"/>
        <c:axPos val="b"/>
        <c:title>
          <c:tx>
            <c:rich>
              <a:bodyPr rot="0" spcFirstLastPara="1" vertOverflow="ellipsis" vert="horz" wrap="square" anchor="ctr" anchorCtr="1"/>
              <a:lstStyle/>
              <a:p>
                <a:pPr>
                  <a:defRPr sz="1000" b="0" i="0" u="none" strike="noStrike" kern="1200" cap="all" baseline="0">
                    <a:solidFill>
                      <a:schemeClr val="bg1"/>
                    </a:solidFill>
                    <a:latin typeface="+mn-lt"/>
                    <a:ea typeface="+mn-ea"/>
                    <a:cs typeface="+mn-cs"/>
                  </a:defRPr>
                </a:pPr>
                <a:r>
                  <a:rPr lang="en-US" cap="all" baseline="0"/>
                  <a:t>Skills</a:t>
                </a:r>
              </a:p>
            </c:rich>
          </c:tx>
          <c:overlay val="0"/>
          <c:spPr>
            <a:noFill/>
            <a:ln>
              <a:noFill/>
            </a:ln>
            <a:effectLst/>
          </c:spPr>
          <c:txPr>
            <a:bodyPr rot="0" spcFirstLastPara="1" vertOverflow="ellipsis" vert="horz" wrap="square" anchor="ctr" anchorCtr="1"/>
            <a:lstStyle/>
            <a:p>
              <a:pPr>
                <a:defRPr sz="10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7585824"/>
        <c:crosses val="autoZero"/>
        <c:auto val="1"/>
        <c:lblAlgn val="ctr"/>
        <c:lblOffset val="100"/>
        <c:noMultiLvlLbl val="0"/>
      </c:catAx>
      <c:valAx>
        <c:axId val="2007585824"/>
        <c:scaling>
          <c:orientation val="minMax"/>
          <c:max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cap="all" baseline="0">
                    <a:solidFill>
                      <a:schemeClr val="bg1"/>
                    </a:solidFill>
                    <a:latin typeface="+mn-lt"/>
                    <a:ea typeface="+mn-ea"/>
                    <a:cs typeface="+mn-cs"/>
                  </a:defRPr>
                </a:pPr>
                <a:r>
                  <a:rPr lang="en-US" cap="all" baseline="0"/>
                  <a:t>Number of skills per job</a:t>
                </a:r>
              </a:p>
            </c:rich>
          </c:tx>
          <c:overlay val="0"/>
          <c:spPr>
            <a:noFill/>
            <a:ln>
              <a:noFill/>
            </a:ln>
            <a:effectLst/>
          </c:spPr>
          <c:txPr>
            <a:bodyPr rot="-5400000" spcFirstLastPara="1" vertOverflow="ellipsis" vert="horz" wrap="square" anchor="ctr" anchorCtr="1"/>
            <a:lstStyle/>
            <a:p>
              <a:pPr>
                <a:defRPr sz="10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solidFill>
              <a:schemeClr val="accent1">
                <a:alpha val="95000"/>
              </a:schemeClr>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7586304"/>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[data_job_analyssi_dashboard.xlsx]pivot_table!PivotTable7</c:name>
    <c:fmtId val="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effectLst/>
              </a:rPr>
              <a:t>Job Postings by Region — Myanmar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sq" cmpd="sng">
            <a:solidFill>
              <a:schemeClr val="bg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pivot_table!$B$65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solidFill>
            </a:ln>
            <a:effectLst>
              <a:outerShdw blurRad="57150" dist="19050" dir="5400000" algn="ctr" rotWithShape="0">
                <a:srgbClr val="000000">
                  <a:alpha val="63000"/>
                </a:srgbClr>
              </a:outerShdw>
            </a:effectLst>
          </c:spPr>
          <c:invertIfNegative val="0"/>
          <c:cat>
            <c:strRef>
              <c:f>pivot_table!$A$66:$A$81</c:f>
              <c:strCache>
                <c:ptCount val="15"/>
                <c:pt idx="0">
                  <c:v>Ayeyarwady Region</c:v>
                </c:pt>
                <c:pt idx="1">
                  <c:v>Bago Region</c:v>
                </c:pt>
                <c:pt idx="2">
                  <c:v>Chin State</c:v>
                </c:pt>
                <c:pt idx="3">
                  <c:v>Kachin State</c:v>
                </c:pt>
                <c:pt idx="4">
                  <c:v>Kayah State</c:v>
                </c:pt>
                <c:pt idx="5">
                  <c:v>Kayin State</c:v>
                </c:pt>
                <c:pt idx="6">
                  <c:v>Magway Region</c:v>
                </c:pt>
                <c:pt idx="7">
                  <c:v>Mandalay Region</c:v>
                </c:pt>
                <c:pt idx="8">
                  <c:v>Mon State</c:v>
                </c:pt>
                <c:pt idx="9">
                  <c:v>Naypyidaw Union Territory</c:v>
                </c:pt>
                <c:pt idx="10">
                  <c:v>Rakhine State</c:v>
                </c:pt>
                <c:pt idx="11">
                  <c:v>Sagaing Region</c:v>
                </c:pt>
                <c:pt idx="12">
                  <c:v>Shan State</c:v>
                </c:pt>
                <c:pt idx="13">
                  <c:v>Tanintharyi Region</c:v>
                </c:pt>
                <c:pt idx="14">
                  <c:v>Yangon Region</c:v>
                </c:pt>
              </c:strCache>
            </c:strRef>
          </c:cat>
          <c:val>
            <c:numRef>
              <c:f>pivot_table!$B$66:$B$81</c:f>
              <c:numCache>
                <c:formatCode>General</c:formatCode>
                <c:ptCount val="15"/>
                <c:pt idx="0">
                  <c:v>4</c:v>
                </c:pt>
                <c:pt idx="1">
                  <c:v>4</c:v>
                </c:pt>
                <c:pt idx="2">
                  <c:v>3</c:v>
                </c:pt>
                <c:pt idx="3">
                  <c:v>3</c:v>
                </c:pt>
                <c:pt idx="4">
                  <c:v>2</c:v>
                </c:pt>
                <c:pt idx="5">
                  <c:v>3</c:v>
                </c:pt>
                <c:pt idx="6">
                  <c:v>3</c:v>
                </c:pt>
                <c:pt idx="7">
                  <c:v>4</c:v>
                </c:pt>
                <c:pt idx="8">
                  <c:v>3</c:v>
                </c:pt>
                <c:pt idx="9">
                  <c:v>2</c:v>
                </c:pt>
                <c:pt idx="10">
                  <c:v>3</c:v>
                </c:pt>
                <c:pt idx="11">
                  <c:v>4</c:v>
                </c:pt>
                <c:pt idx="12">
                  <c:v>3</c:v>
                </c:pt>
                <c:pt idx="13">
                  <c:v>2</c:v>
                </c:pt>
                <c:pt idx="14">
                  <c:v>7</c:v>
                </c:pt>
              </c:numCache>
            </c:numRef>
          </c:val>
          <c:extLst>
            <c:ext xmlns:c16="http://schemas.microsoft.com/office/drawing/2014/chart" uri="{C3380CC4-5D6E-409C-BE32-E72D297353CC}">
              <c16:uniqueId val="{00000003-5523-4910-A4AF-466D3BED6478}"/>
            </c:ext>
          </c:extLst>
        </c:ser>
        <c:dLbls>
          <c:showLegendKey val="0"/>
          <c:showVal val="0"/>
          <c:showCatName val="0"/>
          <c:showSerName val="0"/>
          <c:showPercent val="0"/>
          <c:showBubbleSize val="0"/>
        </c:dLbls>
        <c:gapWidth val="150"/>
        <c:axId val="812507408"/>
        <c:axId val="812507888"/>
      </c:barChart>
      <c:catAx>
        <c:axId val="8125074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2507888"/>
        <c:crosses val="autoZero"/>
        <c:auto val="1"/>
        <c:lblAlgn val="ctr"/>
        <c:lblOffset val="100"/>
        <c:noMultiLvlLbl val="0"/>
      </c:catAx>
      <c:valAx>
        <c:axId val="812507888"/>
        <c:scaling>
          <c:orientation val="minMax"/>
        </c:scaling>
        <c:delete val="0"/>
        <c:axPos val="l"/>
        <c:majorGridlines>
          <c:spPr>
            <a:ln w="9525" cap="flat" cmpd="sng" algn="ctr">
              <a:solidFill>
                <a:schemeClr val="bg1">
                  <a:alpha val="37000"/>
                </a:schemeClr>
              </a:solidFill>
              <a:round/>
              <a:headEnd type="none"/>
            </a:ln>
            <a:effectLst/>
          </c:spPr>
        </c:majorGridlines>
        <c:minorGridlines>
          <c:spPr>
            <a:ln>
              <a:solidFill>
                <a:schemeClr val="lt1">
                  <a:lumMod val="95000"/>
                  <a:alpha val="5000"/>
                </a:schemeClr>
              </a:solidFill>
            </a:ln>
            <a:effectLst/>
          </c:spPr>
        </c:min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a:t>Numbers</a:t>
                </a:r>
                <a:r>
                  <a:rPr lang="en-US" baseline="0"/>
                  <a:t> of job location</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2507408"/>
        <c:crosses val="autoZero"/>
        <c:crossBetween val="between"/>
      </c:valAx>
      <c:spPr>
        <a:noFill/>
        <a:ln>
          <a:solidFill>
            <a:schemeClr val="tx2"/>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a:solidFill>
        <a:schemeClr val="bg1"/>
      </a:solid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[data_job_analyssi_dashboard.xlsx]pivot_table!PivotTable5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ysClr val="window" lastClr="FFFFFF"/>
                </a:solidFill>
                <a:latin typeface="+mn-lt"/>
                <a:ea typeface="+mn-ea"/>
                <a:cs typeface="+mn-cs"/>
              </a:defRPr>
            </a:pPr>
            <a:r>
              <a:rPr lang="en-US" sz="1200" b="1">
                <a:effectLst/>
              </a:rPr>
              <a:t>Top 10 Most In-Demand Skills </a:t>
            </a:r>
          </a:p>
        </c:rich>
      </c:tx>
      <c:layout>
        <c:manualLayout>
          <c:xMode val="edge"/>
          <c:yMode val="edge"/>
          <c:x val="0.29824309819706818"/>
          <c:y val="4.492362982929020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pivot_table!$B$44</c:f>
              <c:strCache>
                <c:ptCount val="1"/>
                <c:pt idx="0">
                  <c:v>Total</c:v>
                </c:pt>
              </c:strCache>
            </c:strRef>
          </c:tx>
          <c:spPr>
            <a:solidFill>
              <a:schemeClr val="bg1"/>
            </a:solidFill>
            <a:ln>
              <a:noFill/>
            </a:ln>
            <a:effectLst/>
          </c:spPr>
          <c:invertIfNegative val="0"/>
          <c:cat>
            <c:strRef>
              <c:f>pivot_table!$A$45:$A$55</c:f>
              <c:strCache>
                <c:ptCount val="10"/>
                <c:pt idx="0">
                  <c:v> SQL</c:v>
                </c:pt>
                <c:pt idx="1">
                  <c:v> Python</c:v>
                </c:pt>
                <c:pt idx="2">
                  <c:v> Statistics</c:v>
                </c:pt>
                <c:pt idx="3">
                  <c:v>AWS</c:v>
                </c:pt>
                <c:pt idx="4">
                  <c:v>Machine Learning</c:v>
                </c:pt>
                <c:pt idx="5">
                  <c:v>Excel</c:v>
                </c:pt>
                <c:pt idx="6">
                  <c:v> Scikit-learn</c:v>
                </c:pt>
                <c:pt idx="7">
                  <c:v>Docker</c:v>
                </c:pt>
                <c:pt idx="8">
                  <c:v> Azure</c:v>
                </c:pt>
                <c:pt idx="9">
                  <c:v> Docker</c:v>
                </c:pt>
              </c:strCache>
            </c:strRef>
          </c:cat>
          <c:val>
            <c:numRef>
              <c:f>pivot_table!$B$45:$B$55</c:f>
              <c:numCache>
                <c:formatCode>General</c:formatCode>
                <c:ptCount val="10"/>
                <c:pt idx="0">
                  <c:v>20</c:v>
                </c:pt>
                <c:pt idx="1">
                  <c:v>19</c:v>
                </c:pt>
                <c:pt idx="2">
                  <c:v>12</c:v>
                </c:pt>
                <c:pt idx="3">
                  <c:v>10</c:v>
                </c:pt>
                <c:pt idx="4">
                  <c:v>9</c:v>
                </c:pt>
                <c:pt idx="5">
                  <c:v>7</c:v>
                </c:pt>
                <c:pt idx="6">
                  <c:v>6</c:v>
                </c:pt>
                <c:pt idx="7">
                  <c:v>5</c:v>
                </c:pt>
                <c:pt idx="8">
                  <c:v>5</c:v>
                </c:pt>
                <c:pt idx="9">
                  <c:v>5</c:v>
                </c:pt>
              </c:numCache>
            </c:numRef>
          </c:val>
          <c:extLst>
            <c:ext xmlns:c16="http://schemas.microsoft.com/office/drawing/2014/chart" uri="{C3380CC4-5D6E-409C-BE32-E72D297353CC}">
              <c16:uniqueId val="{00000003-6466-4BDD-8949-2BBDBF634641}"/>
            </c:ext>
          </c:extLst>
        </c:ser>
        <c:dLbls>
          <c:showLegendKey val="0"/>
          <c:showVal val="0"/>
          <c:showCatName val="0"/>
          <c:showSerName val="0"/>
          <c:showPercent val="0"/>
          <c:showBubbleSize val="0"/>
        </c:dLbls>
        <c:gapWidth val="182"/>
        <c:axId val="2007586304"/>
        <c:axId val="2007585824"/>
      </c:barChart>
      <c:catAx>
        <c:axId val="200758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7585824"/>
        <c:crosses val="autoZero"/>
        <c:auto val="1"/>
        <c:lblAlgn val="ctr"/>
        <c:lblOffset val="100"/>
        <c:noMultiLvlLbl val="0"/>
      </c:catAx>
      <c:valAx>
        <c:axId val="2007585824"/>
        <c:scaling>
          <c:orientation val="minMax"/>
          <c:max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cap="all" baseline="0">
                    <a:solidFill>
                      <a:schemeClr val="bg1"/>
                    </a:solidFill>
                    <a:latin typeface="+mn-lt"/>
                    <a:ea typeface="+mn-ea"/>
                    <a:cs typeface="+mn-cs"/>
                  </a:defRPr>
                </a:pPr>
                <a:r>
                  <a:rPr lang="en-US" cap="all" baseline="0"/>
                  <a:t>Number of skills per job</a:t>
                </a:r>
              </a:p>
            </c:rich>
          </c:tx>
          <c:overlay val="0"/>
          <c:spPr>
            <a:noFill/>
            <a:ln>
              <a:noFill/>
            </a:ln>
            <a:effectLst/>
          </c:spPr>
          <c:txPr>
            <a:bodyPr rot="-5400000" spcFirstLastPara="1" vertOverflow="ellipsis" vert="horz" wrap="square" anchor="ctr" anchorCtr="1"/>
            <a:lstStyle/>
            <a:p>
              <a:pPr>
                <a:defRPr sz="10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solidFill>
              <a:schemeClr val="accent1">
                <a:alpha val="95000"/>
              </a:schemeClr>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7586304"/>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noFill/>
      <a:round/>
    </a:ln>
    <a:effectLst>
      <a:outerShdw blurRad="50800" dist="50800" dir="5400000" algn="ctr" rotWithShape="0">
        <a:schemeClr val="tx1">
          <a:lumMod val="50000"/>
          <a:lumOff val="50000"/>
          <a:alpha val="99000"/>
        </a:scheme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[data_job_analyssi_dashboard.xlsx]pivot_table!PivotTable1</c:name>
    <c:fmtId val="17"/>
  </c:pivotSource>
  <c:chart>
    <c:title>
      <c:tx>
        <c:rich>
          <a:bodyPr rot="0" spcFirstLastPara="1" vertOverflow="ellipsis" vert="horz" wrap="square" anchor="ctr" anchorCtr="1"/>
          <a:lstStyle/>
          <a:p>
            <a:pPr algn="ctr" rtl="0">
              <a:defRPr sz="1200" b="1" i="0" u="none" strike="noStrike" kern="1200" spc="0" baseline="0">
                <a:solidFill>
                  <a:schemeClr val="bg1"/>
                </a:solidFill>
                <a:latin typeface="+mn-lt"/>
                <a:ea typeface="+mn-ea"/>
                <a:cs typeface="+mn-cs"/>
              </a:defRPr>
            </a:pPr>
            <a:r>
              <a:rPr lang="en-US" sz="1200" b="1"/>
              <a:t>Top Highest-Paid Data Roles </a:t>
            </a:r>
          </a:p>
        </c:rich>
      </c:tx>
      <c:layout>
        <c:manualLayout>
          <c:xMode val="edge"/>
          <c:yMode val="edge"/>
          <c:x val="0.36572353638276967"/>
          <c:y val="1.6182742782152235E-2"/>
        </c:manualLayout>
      </c:layout>
      <c:overlay val="0"/>
      <c:spPr>
        <a:noFill/>
        <a:ln>
          <a:noFill/>
        </a:ln>
        <a:effectLst/>
      </c:spPr>
      <c:txPr>
        <a:bodyPr rot="0" spcFirstLastPara="1" vertOverflow="ellipsis" vert="horz" wrap="square" anchor="ctr" anchorCtr="1"/>
        <a:lstStyle/>
        <a:p>
          <a:pPr algn="ctr" rtl="0">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c:spPr>
      </c:pivotFmt>
    </c:pivotFmts>
    <c:plotArea>
      <c:layout>
        <c:manualLayout>
          <c:layoutTarget val="inner"/>
          <c:xMode val="edge"/>
          <c:yMode val="edge"/>
          <c:x val="0.10267206516692289"/>
          <c:y val="0.22500000000000003"/>
          <c:w val="0.88052377962378903"/>
          <c:h val="0.60932347902619954"/>
        </c:manualLayout>
      </c:layout>
      <c:barChart>
        <c:barDir val="col"/>
        <c:grouping val="clustered"/>
        <c:varyColors val="0"/>
        <c:ser>
          <c:idx val="0"/>
          <c:order val="0"/>
          <c:tx>
            <c:strRef>
              <c:f>pivot_table!$B$1</c:f>
              <c:strCache>
                <c:ptCount val="1"/>
                <c:pt idx="0">
                  <c:v>Total</c:v>
                </c:pt>
              </c:strCache>
            </c:strRef>
          </c:tx>
          <c:spPr>
            <a:solidFill>
              <a:sysClr val="window" lastClr="FFFFFF"/>
            </a:solidFill>
            <a:ln>
              <a:noFill/>
            </a:ln>
            <a:effectLst/>
          </c:spPr>
          <c:invertIfNegative val="0"/>
          <c:cat>
            <c:strRef>
              <c:f>pivot_table!$A$2:$A$7</c:f>
              <c:strCache>
                <c:ptCount val="5"/>
                <c:pt idx="0">
                  <c:v>Senior Data Scientist</c:v>
                </c:pt>
                <c:pt idx="1">
                  <c:v>Machine Learning Engineer</c:v>
                </c:pt>
                <c:pt idx="2">
                  <c:v>Senior Data Engineer</c:v>
                </c:pt>
                <c:pt idx="3">
                  <c:v>Cloud Engineer</c:v>
                </c:pt>
                <c:pt idx="4">
                  <c:v>Senior Data Analyst</c:v>
                </c:pt>
              </c:strCache>
            </c:strRef>
          </c:cat>
          <c:val>
            <c:numRef>
              <c:f>pivot_table!$B$2:$B$7</c:f>
              <c:numCache>
                <c:formatCode>_-[$€-2]\ * #,##0_-;\-[$€-2]\ * #,##0_-;_-[$€-2]\ * "-"??_-;_-@_-</c:formatCode>
                <c:ptCount val="5"/>
                <c:pt idx="0">
                  <c:v>2450</c:v>
                </c:pt>
                <c:pt idx="1">
                  <c:v>2220</c:v>
                </c:pt>
                <c:pt idx="2">
                  <c:v>2026</c:v>
                </c:pt>
                <c:pt idx="3">
                  <c:v>1780</c:v>
                </c:pt>
                <c:pt idx="4">
                  <c:v>1600</c:v>
                </c:pt>
              </c:numCache>
            </c:numRef>
          </c:val>
          <c:extLst>
            <c:ext xmlns:c16="http://schemas.microsoft.com/office/drawing/2014/chart" uri="{C3380CC4-5D6E-409C-BE32-E72D297353CC}">
              <c16:uniqueId val="{00000003-05E1-4EAD-9BD8-AEDD5E1DAC70}"/>
            </c:ext>
          </c:extLst>
        </c:ser>
        <c:dLbls>
          <c:showLegendKey val="0"/>
          <c:showVal val="0"/>
          <c:showCatName val="0"/>
          <c:showSerName val="0"/>
          <c:showPercent val="0"/>
          <c:showBubbleSize val="0"/>
        </c:dLbls>
        <c:gapWidth val="219"/>
        <c:axId val="716521408"/>
        <c:axId val="716519008"/>
      </c:barChart>
      <c:catAx>
        <c:axId val="71652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6519008"/>
        <c:crosses val="autoZero"/>
        <c:auto val="1"/>
        <c:lblAlgn val="ctr"/>
        <c:lblOffset val="100"/>
        <c:noMultiLvlLbl val="0"/>
      </c:catAx>
      <c:valAx>
        <c:axId val="716519008"/>
        <c:scaling>
          <c:orientation val="minMax"/>
          <c:max val="2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cap="all" baseline="0">
                    <a:solidFill>
                      <a:schemeClr val="bg1"/>
                    </a:solidFill>
                    <a:latin typeface="+mn-lt"/>
                    <a:ea typeface="+mn-ea"/>
                    <a:cs typeface="+mn-cs"/>
                  </a:defRPr>
                </a:pPr>
                <a:r>
                  <a:rPr lang="en-US" cap="all" baseline="0"/>
                  <a:t>Average ax salary</a:t>
                </a:r>
              </a:p>
            </c:rich>
          </c:tx>
          <c:overlay val="0"/>
          <c:spPr>
            <a:noFill/>
            <a:ln>
              <a:noFill/>
            </a:ln>
            <a:effectLst/>
          </c:spPr>
          <c:txPr>
            <a:bodyPr rot="-5400000" spcFirstLastPara="1" vertOverflow="ellipsis" vert="horz" wrap="square" anchor="ctr" anchorCtr="1"/>
            <a:lstStyle/>
            <a:p>
              <a:pPr>
                <a:defRPr sz="1000" b="0" i="0" u="none" strike="noStrike" kern="1200" cap="all" baseline="0">
                  <a:solidFill>
                    <a:schemeClr val="bg1"/>
                  </a:solidFill>
                  <a:latin typeface="+mn-lt"/>
                  <a:ea typeface="+mn-ea"/>
                  <a:cs typeface="+mn-cs"/>
                </a:defRPr>
              </a:pPr>
              <a:endParaRPr lang="en-US"/>
            </a:p>
          </c:txPr>
        </c:title>
        <c:numFmt formatCode="_-[$€-2]\ * #,##0_-;\-[$€-2]\ * #,##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6521408"/>
        <c:crosses val="autoZero"/>
        <c:crossBetween val="between"/>
      </c:valAx>
      <c:dTable>
        <c:showHorzBorder val="1"/>
        <c:showVertBorder val="1"/>
        <c:showOutline val="1"/>
        <c:showKeys val="1"/>
        <c:spPr>
          <a:noFill/>
          <a:ln w="25400" cap="flat" cmpd="sng" algn="ctr">
            <a:no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noFill/>
      <a:round/>
    </a:ln>
    <a:effectLst>
      <a:outerShdw blurRad="50800" dist="50800" dir="6000000" algn="ctr" rotWithShape="0">
        <a:schemeClr val="tx1">
          <a:lumMod val="50000"/>
          <a:lumOff val="50000"/>
          <a:alpha val="99000"/>
        </a:scheme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[data_job_analyssi_dashboard.xlsx]pivot_table!PivotTable3</c:name>
    <c:fmtId val="6"/>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sz="1200" b="1">
                <a:effectLst/>
              </a:rPr>
              <a:t>Job Postings by Experience Level (%)</a:t>
            </a:r>
          </a:p>
        </c:rich>
      </c:tx>
      <c:layout>
        <c:manualLayout>
          <c:xMode val="edge"/>
          <c:yMode val="edge"/>
          <c:x val="0.15799308978608612"/>
          <c:y val="4.432624113475177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dLbl>
          <c:idx val="0"/>
          <c:layout>
            <c:manualLayout>
              <c:x val="-6.7066272965879262E-2"/>
              <c:y val="-0.1779731700204141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19050">
            <a:solidFill>
              <a:schemeClr val="lt1"/>
            </a:solidFill>
          </a:ln>
          <a:effectLst/>
        </c:spPr>
        <c:dLbl>
          <c:idx val="0"/>
          <c:layout>
            <c:manualLayout>
              <c:x val="8.9320866141732277E-2"/>
              <c:y val="0.1291673957421989"/>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w="19050">
            <a:solidFill>
              <a:schemeClr val="lt1"/>
            </a:solidFill>
          </a:ln>
          <a:effectLst/>
        </c:spPr>
        <c:dLbl>
          <c:idx val="0"/>
          <c:layout>
            <c:manualLayout>
              <c:x val="0.13080818022747157"/>
              <c:y val="-9.954906678331874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w="19050">
            <a:solidFill>
              <a:schemeClr val="lt1"/>
            </a:solidFill>
          </a:ln>
          <a:effectLst/>
        </c:spPr>
        <c:dLbl>
          <c:idx val="0"/>
          <c:layout>
            <c:manualLayout>
              <c:x val="0.13080818022747157"/>
              <c:y val="-9.954906678331874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dLbl>
          <c:idx val="0"/>
          <c:layout>
            <c:manualLayout>
              <c:x val="8.9320866141732277E-2"/>
              <c:y val="0.1291673957421989"/>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w="19050">
            <a:solidFill>
              <a:schemeClr val="lt1"/>
            </a:solidFill>
          </a:ln>
          <a:effectLst/>
        </c:spPr>
        <c:dLbl>
          <c:idx val="0"/>
          <c:layout>
            <c:manualLayout>
              <c:x val="-6.7066272965879262E-2"/>
              <c:y val="-0.1779731700204141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19050">
            <a:solidFill>
              <a:schemeClr val="lt1"/>
            </a:solidFill>
          </a:ln>
          <a:effectLst/>
        </c:spPr>
        <c:dLbl>
          <c:idx val="0"/>
          <c:layout>
            <c:manualLayout>
              <c:x val="5.6136699310435551E-2"/>
              <c:y val="-0.1517578977326629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w="19050">
            <a:solidFill>
              <a:schemeClr val="lt1"/>
            </a:solidFill>
          </a:ln>
          <a:effectLst/>
        </c:spPr>
        <c:dLbl>
          <c:idx val="0"/>
          <c:layout>
            <c:manualLayout>
              <c:x val="8.9320866141732277E-2"/>
              <c:y val="0.1291673957421989"/>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w="19050">
            <a:solidFill>
              <a:schemeClr val="lt1"/>
            </a:solidFill>
          </a:ln>
          <a:effectLst/>
        </c:spPr>
        <c:dLbl>
          <c:idx val="0"/>
          <c:layout>
            <c:manualLayout>
              <c:x val="-0.14472455056021225"/>
              <c:y val="-0.13379660373778587"/>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77259004596253"/>
          <c:y val="0.2707556976170058"/>
          <c:w val="0.5959219006074945"/>
          <c:h val="0.62837309321483326"/>
        </c:manualLayout>
      </c:layout>
      <c:doughnutChart>
        <c:varyColors val="1"/>
        <c:ser>
          <c:idx val="0"/>
          <c:order val="0"/>
          <c:tx>
            <c:strRef>
              <c:f>pivot_table!$B$22</c:f>
              <c:strCache>
                <c:ptCount val="1"/>
                <c:pt idx="0">
                  <c:v>Total</c:v>
                </c:pt>
              </c:strCache>
            </c:strRef>
          </c:tx>
          <c:dPt>
            <c:idx val="0"/>
            <c:bubble3D val="0"/>
            <c:spPr>
              <a:solidFill>
                <a:schemeClr val="accent1">
                  <a:lumMod val="75000"/>
                </a:schemeClr>
              </a:solidFill>
              <a:ln w="19050">
                <a:solidFill>
                  <a:schemeClr val="lt1"/>
                </a:solidFill>
              </a:ln>
              <a:effectLst/>
            </c:spPr>
          </c:dPt>
          <c:dPt>
            <c:idx val="1"/>
            <c:bubble3D val="0"/>
            <c:spPr>
              <a:solidFill>
                <a:schemeClr val="accent1">
                  <a:lumMod val="60000"/>
                  <a:lumOff val="40000"/>
                </a:schemeClr>
              </a:solidFill>
              <a:ln w="19050">
                <a:solidFill>
                  <a:schemeClr val="lt1"/>
                </a:solidFill>
              </a:ln>
              <a:effectLst/>
            </c:spPr>
          </c:dPt>
          <c:dPt>
            <c:idx val="2"/>
            <c:bubble3D val="0"/>
            <c:spPr>
              <a:solidFill>
                <a:schemeClr val="bg1"/>
              </a:solidFill>
              <a:ln w="19050">
                <a:solidFill>
                  <a:schemeClr val="lt1"/>
                </a:solidFill>
              </a:ln>
              <a:effectLst/>
            </c:spPr>
          </c:dPt>
          <c:dLbls>
            <c:dLbl>
              <c:idx val="0"/>
              <c:layout>
                <c:manualLayout>
                  <c:x val="5.6136699310435551E-2"/>
                  <c:y val="-0.15175789773266296"/>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8.9320866141732277E-2"/>
                  <c:y val="0.1291673957421989"/>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14472455056021225"/>
                  <c:y val="-0.1337966037377858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pivot_table!$A$23:$A$26</c:f>
              <c:strCache>
                <c:ptCount val="3"/>
                <c:pt idx="0">
                  <c:v>Entry</c:v>
                </c:pt>
                <c:pt idx="1">
                  <c:v>Mid</c:v>
                </c:pt>
                <c:pt idx="2">
                  <c:v>Senior</c:v>
                </c:pt>
              </c:strCache>
            </c:strRef>
          </c:cat>
          <c:val>
            <c:numRef>
              <c:f>pivot_table!$B$23:$B$26</c:f>
              <c:numCache>
                <c:formatCode>0%</c:formatCode>
                <c:ptCount val="3"/>
                <c:pt idx="0">
                  <c:v>0.1</c:v>
                </c:pt>
                <c:pt idx="1">
                  <c:v>0.4</c:v>
                </c:pt>
                <c:pt idx="2">
                  <c:v>0.5</c:v>
                </c:pt>
              </c:numCache>
            </c:numRef>
          </c:val>
          <c:extLst>
            <c:ext xmlns:c16="http://schemas.microsoft.com/office/drawing/2014/chart" uri="{C3380CC4-5D6E-409C-BE32-E72D297353CC}">
              <c16:uniqueId val="{00000009-5323-4693-814D-6DA29214D37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noFill/>
      <a:round/>
    </a:ln>
    <a:effectLst>
      <a:outerShdw blurRad="50800" dist="50800" dir="5400000" algn="ctr" rotWithShape="0">
        <a:schemeClr val="tx1">
          <a:lumMod val="50000"/>
          <a:lumOff val="50000"/>
          <a:alpha val="99000"/>
        </a:scheme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[data_job_analyssi_dashboard.xlsx]pivot_table!PivotTable7</c:name>
    <c:fmtId val="5"/>
  </c:pivotSource>
  <c:chart>
    <c:title>
      <c:tx>
        <c:rich>
          <a:bodyPr rot="0" spcFirstLastPara="1" vertOverflow="ellipsis" vert="horz" wrap="square" anchor="ctr" anchorCtr="1"/>
          <a:lstStyle/>
          <a:p>
            <a:pPr>
              <a:defRPr sz="12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200">
                <a:effectLst/>
              </a:rPr>
              <a:t>Job Postings by Region — Myanmar</a:t>
            </a:r>
          </a:p>
        </c:rich>
      </c:tx>
      <c:layout>
        <c:manualLayout>
          <c:xMode val="edge"/>
          <c:yMode val="edge"/>
          <c:x val="0.27674338030286688"/>
          <c:y val="4.0214477211796246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sq" cmpd="sng">
            <a:solidFill>
              <a:schemeClr val="bg1"/>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soli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pivot_table!$B$65</c:f>
              <c:strCache>
                <c:ptCount val="1"/>
                <c:pt idx="0">
                  <c:v>Total</c:v>
                </c:pt>
              </c:strCache>
            </c:strRef>
          </c:tx>
          <c:spPr>
            <a:solidFill>
              <a:schemeClr val="bg1"/>
            </a:solidFill>
            <a:ln>
              <a:solidFill>
                <a:schemeClr val="bg1"/>
              </a:solidFill>
            </a:ln>
            <a:effectLst>
              <a:outerShdw blurRad="57150" dist="19050" dir="5400000" algn="ctr" rotWithShape="0">
                <a:srgbClr val="000000">
                  <a:alpha val="63000"/>
                </a:srgbClr>
              </a:outerShdw>
            </a:effectLst>
          </c:spPr>
          <c:invertIfNegative val="0"/>
          <c:cat>
            <c:strRef>
              <c:f>pivot_table!$A$66:$A$81</c:f>
              <c:strCache>
                <c:ptCount val="15"/>
                <c:pt idx="0">
                  <c:v>Ayeyarwady Region</c:v>
                </c:pt>
                <c:pt idx="1">
                  <c:v>Bago Region</c:v>
                </c:pt>
                <c:pt idx="2">
                  <c:v>Chin State</c:v>
                </c:pt>
                <c:pt idx="3">
                  <c:v>Kachin State</c:v>
                </c:pt>
                <c:pt idx="4">
                  <c:v>Kayah State</c:v>
                </c:pt>
                <c:pt idx="5">
                  <c:v>Kayin State</c:v>
                </c:pt>
                <c:pt idx="6">
                  <c:v>Magway Region</c:v>
                </c:pt>
                <c:pt idx="7">
                  <c:v>Mandalay Region</c:v>
                </c:pt>
                <c:pt idx="8">
                  <c:v>Mon State</c:v>
                </c:pt>
                <c:pt idx="9">
                  <c:v>Naypyidaw Union Territory</c:v>
                </c:pt>
                <c:pt idx="10">
                  <c:v>Rakhine State</c:v>
                </c:pt>
                <c:pt idx="11">
                  <c:v>Sagaing Region</c:v>
                </c:pt>
                <c:pt idx="12">
                  <c:v>Shan State</c:v>
                </c:pt>
                <c:pt idx="13">
                  <c:v>Tanintharyi Region</c:v>
                </c:pt>
                <c:pt idx="14">
                  <c:v>Yangon Region</c:v>
                </c:pt>
              </c:strCache>
            </c:strRef>
          </c:cat>
          <c:val>
            <c:numRef>
              <c:f>pivot_table!$B$66:$B$81</c:f>
              <c:numCache>
                <c:formatCode>General</c:formatCode>
                <c:ptCount val="15"/>
                <c:pt idx="0">
                  <c:v>4</c:v>
                </c:pt>
                <c:pt idx="1">
                  <c:v>4</c:v>
                </c:pt>
                <c:pt idx="2">
                  <c:v>3</c:v>
                </c:pt>
                <c:pt idx="3">
                  <c:v>3</c:v>
                </c:pt>
                <c:pt idx="4">
                  <c:v>2</c:v>
                </c:pt>
                <c:pt idx="5">
                  <c:v>3</c:v>
                </c:pt>
                <c:pt idx="6">
                  <c:v>3</c:v>
                </c:pt>
                <c:pt idx="7">
                  <c:v>4</c:v>
                </c:pt>
                <c:pt idx="8">
                  <c:v>3</c:v>
                </c:pt>
                <c:pt idx="9">
                  <c:v>2</c:v>
                </c:pt>
                <c:pt idx="10">
                  <c:v>3</c:v>
                </c:pt>
                <c:pt idx="11">
                  <c:v>4</c:v>
                </c:pt>
                <c:pt idx="12">
                  <c:v>3</c:v>
                </c:pt>
                <c:pt idx="13">
                  <c:v>2</c:v>
                </c:pt>
                <c:pt idx="14">
                  <c:v>7</c:v>
                </c:pt>
              </c:numCache>
            </c:numRef>
          </c:val>
          <c:extLst>
            <c:ext xmlns:c16="http://schemas.microsoft.com/office/drawing/2014/chart" uri="{C3380CC4-5D6E-409C-BE32-E72D297353CC}">
              <c16:uniqueId val="{00000003-49C0-4391-9BCF-5A943D6C0A77}"/>
            </c:ext>
          </c:extLst>
        </c:ser>
        <c:dLbls>
          <c:showLegendKey val="0"/>
          <c:showVal val="0"/>
          <c:showCatName val="0"/>
          <c:showSerName val="0"/>
          <c:showPercent val="0"/>
          <c:showBubbleSize val="0"/>
        </c:dLbls>
        <c:gapWidth val="150"/>
        <c:axId val="812507408"/>
        <c:axId val="812507888"/>
      </c:barChart>
      <c:catAx>
        <c:axId val="8125074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2507888"/>
        <c:crosses val="autoZero"/>
        <c:auto val="1"/>
        <c:lblAlgn val="ctr"/>
        <c:lblOffset val="100"/>
        <c:noMultiLvlLbl val="0"/>
      </c:catAx>
      <c:valAx>
        <c:axId val="812507888"/>
        <c:scaling>
          <c:orientation val="minMax"/>
        </c:scaling>
        <c:delete val="0"/>
        <c:axPos val="l"/>
        <c:majorGridlines>
          <c:spPr>
            <a:ln w="9525" cap="flat" cmpd="sng" algn="ctr">
              <a:solidFill>
                <a:schemeClr val="bg1">
                  <a:alpha val="37000"/>
                </a:schemeClr>
              </a:solidFill>
              <a:round/>
              <a:headEnd type="none"/>
            </a:ln>
            <a:effectLst/>
          </c:spPr>
        </c:majorGridlines>
        <c:minorGridlines>
          <c:spPr>
            <a:ln>
              <a:solidFill>
                <a:schemeClr val="lt1">
                  <a:lumMod val="95000"/>
                  <a:alpha val="5000"/>
                </a:schemeClr>
              </a:solidFill>
            </a:ln>
            <a:effectLst/>
          </c:spPr>
        </c:min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a:t>Numbers</a:t>
                </a:r>
                <a:r>
                  <a:rPr lang="en-US" baseline="0"/>
                  <a:t> of job location</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2507408"/>
        <c:crosses val="autoZero"/>
        <c:crossBetween val="between"/>
        <c:majorUnit val="2"/>
      </c:valAx>
      <c:spPr>
        <a:noFill/>
        <a:ln>
          <a:solidFill>
            <a:schemeClr val="tx2"/>
          </a:solidFill>
        </a:ln>
        <a:effectLst/>
      </c:spPr>
    </c:plotArea>
    <c:plotVisOnly val="1"/>
    <c:dispBlanksAs val="gap"/>
    <c:showDLblsOverMax val="0"/>
    <c:extLst/>
  </c:chart>
  <c:spPr>
    <a:solidFill>
      <a:schemeClr val="tx2"/>
    </a:solidFill>
    <a:ln>
      <a:noFill/>
    </a:ln>
    <a:effectLst>
      <a:outerShdw blurRad="50800" dist="50800" dir="5400000" algn="ctr" rotWithShape="0">
        <a:schemeClr val="tx1">
          <a:lumMod val="50000"/>
          <a:lumOff val="50000"/>
          <a:alpha val="99000"/>
        </a:scheme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419100</xdr:colOff>
      <xdr:row>0</xdr:row>
      <xdr:rowOff>171450</xdr:rowOff>
    </xdr:from>
    <xdr:to>
      <xdr:col>12</xdr:col>
      <xdr:colOff>457200</xdr:colOff>
      <xdr:row>16</xdr:row>
      <xdr:rowOff>60960</xdr:rowOff>
    </xdr:to>
    <xdr:graphicFrame macro="">
      <xdr:nvGraphicFramePr>
        <xdr:cNvPr id="2" name="Chart 1">
          <a:extLst>
            <a:ext uri="{FF2B5EF4-FFF2-40B4-BE49-F238E27FC236}">
              <a16:creationId xmlns:a16="http://schemas.microsoft.com/office/drawing/2014/main" id="{016269A9-B27C-3FE6-82A4-B062E8565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335280</xdr:colOff>
      <xdr:row>20</xdr:row>
      <xdr:rowOff>125730</xdr:rowOff>
    </xdr:from>
    <xdr:to>
      <xdr:col>12</xdr:col>
      <xdr:colOff>30480</xdr:colOff>
      <xdr:row>35</xdr:row>
      <xdr:rowOff>125730</xdr:rowOff>
    </xdr:to>
    <xdr:graphicFrame macro="">
      <xdr:nvGraphicFramePr>
        <xdr:cNvPr id="3" name="Chart 2">
          <a:extLst>
            <a:ext uri="{FF2B5EF4-FFF2-40B4-BE49-F238E27FC236}">
              <a16:creationId xmlns:a16="http://schemas.microsoft.com/office/drawing/2014/main" id="{AAB239BE-3C2B-EC6A-ADB9-706AE0B8E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373380</xdr:colOff>
      <xdr:row>40</xdr:row>
      <xdr:rowOff>137160</xdr:rowOff>
    </xdr:from>
    <xdr:to>
      <xdr:col>12</xdr:col>
      <xdr:colOff>502920</xdr:colOff>
      <xdr:row>57</xdr:row>
      <xdr:rowOff>0</xdr:rowOff>
    </xdr:to>
    <xdr:graphicFrame macro="">
      <xdr:nvGraphicFramePr>
        <xdr:cNvPr id="4" name="Chart 3">
          <a:extLst>
            <a:ext uri="{FF2B5EF4-FFF2-40B4-BE49-F238E27FC236}">
              <a16:creationId xmlns:a16="http://schemas.microsoft.com/office/drawing/2014/main" id="{AA8A6A6B-CA7C-9ADE-4048-02BB84893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472440</xdr:colOff>
      <xdr:row>61</xdr:row>
      <xdr:rowOff>45720</xdr:rowOff>
    </xdr:from>
    <xdr:to>
      <xdr:col>15</xdr:col>
      <xdr:colOff>304800</xdr:colOff>
      <xdr:row>80</xdr:row>
      <xdr:rowOff>41910</xdr:rowOff>
    </xdr:to>
    <xdr:graphicFrame macro="">
      <xdr:nvGraphicFramePr>
        <xdr:cNvPr id="5" name="Chart 4">
          <a:extLst>
            <a:ext uri="{FF2B5EF4-FFF2-40B4-BE49-F238E27FC236}">
              <a16:creationId xmlns:a16="http://schemas.microsoft.com/office/drawing/2014/main" id="{6C56785A-C8F7-0FED-7586-C3AC89132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13</xdr:col>
      <xdr:colOff>830580</xdr:colOff>
      <xdr:row>3</xdr:row>
      <xdr:rowOff>53340</xdr:rowOff>
    </xdr:from>
    <xdr:ext cx="184731" cy="264560"/>
    <xdr:sp macro="" textlink="">
      <xdr:nvSpPr>
        <xdr:cNvPr id="9" name="TextBox 8">
          <a:extLst>
            <a:ext uri="{FF2B5EF4-FFF2-40B4-BE49-F238E27FC236}">
              <a16:creationId xmlns:a16="http://schemas.microsoft.com/office/drawing/2014/main" id="{B6503BBB-9B09-49A2-9503-2905731B23C1}"/>
            </a:ext>
          </a:extLst>
        </xdr:cNvPr>
        <xdr:cNvSpPr txBox="1"/>
      </xdr:nvSpPr>
      <xdr:spPr>
        <a:xfrm>
          <a:off x="12009120" y="57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81065</xdr:colOff>
      <xdr:row>15</xdr:row>
      <xdr:rowOff>7619</xdr:rowOff>
    </xdr:from>
    <xdr:to>
      <xdr:col>7</xdr:col>
      <xdr:colOff>7620</xdr:colOff>
      <xdr:row>30</xdr:row>
      <xdr:rowOff>53340</xdr:rowOff>
    </xdr:to>
    <xdr:graphicFrame macro="">
      <xdr:nvGraphicFramePr>
        <xdr:cNvPr id="4" name="Chart 3">
          <a:extLst>
            <a:ext uri="{FF2B5EF4-FFF2-40B4-BE49-F238E27FC236}">
              <a16:creationId xmlns:a16="http://schemas.microsoft.com/office/drawing/2014/main" id="{70C236C6-B05B-43D8-99B5-F65898139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1</xdr:row>
      <xdr:rowOff>152400</xdr:rowOff>
    </xdr:from>
    <xdr:to>
      <xdr:col>11</xdr:col>
      <xdr:colOff>7620</xdr:colOff>
      <xdr:row>14</xdr:row>
      <xdr:rowOff>68580</xdr:rowOff>
    </xdr:to>
    <xdr:graphicFrame macro="">
      <xdr:nvGraphicFramePr>
        <xdr:cNvPr id="6" name="Chart 5">
          <a:extLst>
            <a:ext uri="{FF2B5EF4-FFF2-40B4-BE49-F238E27FC236}">
              <a16:creationId xmlns:a16="http://schemas.microsoft.com/office/drawing/2014/main" id="{9CEB457F-87CB-49AD-97F1-63329CD5F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381000</xdr:colOff>
      <xdr:row>14</xdr:row>
      <xdr:rowOff>167640</xdr:rowOff>
    </xdr:from>
    <xdr:to>
      <xdr:col>21</xdr:col>
      <xdr:colOff>304799</xdr:colOff>
      <xdr:row>30</xdr:row>
      <xdr:rowOff>45720</xdr:rowOff>
    </xdr:to>
    <xdr:graphicFrame macro="">
      <xdr:nvGraphicFramePr>
        <xdr:cNvPr id="7" name="Chart 6">
          <a:extLst>
            <a:ext uri="{FF2B5EF4-FFF2-40B4-BE49-F238E27FC236}">
              <a16:creationId xmlns:a16="http://schemas.microsoft.com/office/drawing/2014/main" id="{13334B76-9B52-4B3A-B52B-18BAD1448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449580</xdr:colOff>
      <xdr:row>0</xdr:row>
      <xdr:rowOff>38100</xdr:rowOff>
    </xdr:from>
    <xdr:to>
      <xdr:col>21</xdr:col>
      <xdr:colOff>291668</xdr:colOff>
      <xdr:row>5</xdr:row>
      <xdr:rowOff>121920</xdr:rowOff>
    </xdr:to>
    <mc:AlternateContent xmlns:mc="http://schemas.openxmlformats.org/markup-compatibility/2006">
      <mc:Choice xmlns:a14="http://schemas.microsoft.com/office/drawing/2010/main" Requires="a14">
        <xdr:graphicFrame macro="">
          <xdr:nvGraphicFramePr>
            <xdr:cNvPr id="12" name="job_type">
              <a:extLst>
                <a:ext uri="{FF2B5EF4-FFF2-40B4-BE49-F238E27FC236}">
                  <a16:creationId xmlns:a16="http://schemas.microsoft.com/office/drawing/2014/main" id="{8EEEA33D-282E-42BC-867E-E45123FC782D}"/>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dr:sp macro="" textlink="">
          <xdr:nvSpPr>
            <xdr:cNvPr id="0" name=""/>
            <xdr:cNvSpPr>
              <a:spLocks noTextEdit="1"/>
            </xdr:cNvSpPr>
          </xdr:nvSpPr>
          <xdr:spPr>
            <a:xfrm>
              <a:off x="12519660" y="38100"/>
              <a:ext cx="1853768"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18</xdr:col>
      <xdr:colOff>449580</xdr:colOff>
      <xdr:row>5</xdr:row>
      <xdr:rowOff>137264</xdr:rowOff>
    </xdr:from>
    <xdr:to>
      <xdr:col>21</xdr:col>
      <xdr:colOff>312420</xdr:colOff>
      <xdr:row>14</xdr:row>
      <xdr:rowOff>114300</xdr:rowOff>
    </xdr:to>
    <mc:AlternateContent xmlns:mc="http://schemas.openxmlformats.org/markup-compatibility/2006">
      <mc:Choice xmlns:a14="http://schemas.microsoft.com/office/drawing/2010/main" Requires="a14">
        <xdr:graphicFrame macro="">
          <xdr:nvGraphicFramePr>
            <xdr:cNvPr id="13" name="applications.application_status">
              <a:extLst>
                <a:ext uri="{FF2B5EF4-FFF2-40B4-BE49-F238E27FC236}">
                  <a16:creationId xmlns:a16="http://schemas.microsoft.com/office/drawing/2014/main" id="{5F7151B8-50E4-6F95-2B42-7DD77F43E7AC}"/>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applications.application_status"/>
            </a:graphicData>
          </a:graphic>
        </xdr:graphicFrame>
      </mc:Choice>
      <mc:Fallback>
        <xdr:sp macro="" textlink="">
          <xdr:nvSpPr>
            <xdr:cNvPr id="0" name=""/>
            <xdr:cNvSpPr>
              <a:spLocks noTextEdit="1"/>
            </xdr:cNvSpPr>
          </xdr:nvSpPr>
          <xdr:spPr>
            <a:xfrm>
              <a:off x="12519660" y="1287884"/>
              <a:ext cx="1874520" cy="1554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xdr:from>
      <xdr:col>7</xdr:col>
      <xdr:colOff>137160</xdr:colOff>
      <xdr:row>14</xdr:row>
      <xdr:rowOff>167640</xdr:rowOff>
    </xdr:from>
    <xdr:to>
      <xdr:col>16</xdr:col>
      <xdr:colOff>274320</xdr:colOff>
      <xdr:row>30</xdr:row>
      <xdr:rowOff>53340</xdr:rowOff>
    </xdr:to>
    <xdr:graphicFrame macro="">
      <xdr:nvGraphicFramePr>
        <xdr:cNvPr id="8" name="Chart 7">
          <a:extLst>
            <a:ext uri="{FF2B5EF4-FFF2-40B4-BE49-F238E27FC236}">
              <a16:creationId xmlns:a16="http://schemas.microsoft.com/office/drawing/2014/main" id="{2D2B7874-0561-43CD-A628-4A00DCBD4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495300</xdr:colOff>
      <xdr:row>9</xdr:row>
      <xdr:rowOff>0</xdr:rowOff>
    </xdr:from>
    <xdr:to>
      <xdr:col>17</xdr:col>
      <xdr:colOff>6840</xdr:colOff>
      <xdr:row>14</xdr:row>
      <xdr:rowOff>68580</xdr:rowOff>
    </xdr:to>
    <xdr:sp macro="" textlink="pivot_table!A60">
      <xdr:nvSpPr>
        <xdr:cNvPr id="19" name="Rectangle: Rounded Corners 18">
          <a:extLst>
            <a:ext uri="{FF2B5EF4-FFF2-40B4-BE49-F238E27FC236}">
              <a16:creationId xmlns:a16="http://schemas.microsoft.com/office/drawing/2014/main" id="{78DD3481-D2FD-4FE1-AC06-4BBB962B784B}"/>
            </a:ext>
          </a:extLst>
        </xdr:cNvPr>
        <xdr:cNvSpPr/>
      </xdr:nvSpPr>
      <xdr:spPr>
        <a:xfrm>
          <a:off x="8542020" y="1851660"/>
          <a:ext cx="2864340" cy="944880"/>
        </a:xfrm>
        <a:prstGeom prst="roundRect">
          <a:avLst/>
        </a:prstGeom>
        <a:solidFill>
          <a:schemeClr val="tx2"/>
        </a:solidFill>
        <a:ln>
          <a:noFill/>
        </a:ln>
        <a:effectLst>
          <a:outerShdw blurRad="50800" dist="50800" dir="5400000" algn="ctr" rotWithShape="0">
            <a:schemeClr val="tx1">
              <a:lumMod val="50000"/>
              <a:lumOff val="50000"/>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005114C-DB6C-4093-8935-DEC7927CB48E}" type="TxLink">
            <a:rPr lang="en-US" sz="1400" b="1" i="0" u="none" strike="noStrike">
              <a:solidFill>
                <a:schemeClr val="bg1"/>
              </a:solidFill>
              <a:latin typeface="Aptos Narrow"/>
            </a:rPr>
            <a:pPr algn="ctr"/>
            <a:t>Core Stack                                                   SQL : 40% |  Python : 38%</a:t>
          </a:fld>
          <a:endParaRPr lang="en-US" sz="1400" b="1">
            <a:solidFill>
              <a:schemeClr val="bg1"/>
            </a:solidFill>
          </a:endParaRPr>
        </a:p>
      </xdr:txBody>
    </xdr:sp>
    <xdr:clientData/>
  </xdr:twoCellAnchor>
  <xdr:twoCellAnchor>
    <xdr:from>
      <xdr:col>11</xdr:col>
      <xdr:colOff>106680</xdr:colOff>
      <xdr:row>0</xdr:row>
      <xdr:rowOff>297180</xdr:rowOff>
    </xdr:from>
    <xdr:to>
      <xdr:col>18</xdr:col>
      <xdr:colOff>358140</xdr:colOff>
      <xdr:row>2</xdr:row>
      <xdr:rowOff>106680</xdr:rowOff>
    </xdr:to>
    <xdr:sp macro="" textlink="pivot_table!N5">
      <xdr:nvSpPr>
        <xdr:cNvPr id="23" name="Rectangle: Rounded Corners 22" descr="Market Overview&#10;&#10;">
          <a:extLst>
            <a:ext uri="{FF2B5EF4-FFF2-40B4-BE49-F238E27FC236}">
              <a16:creationId xmlns:a16="http://schemas.microsoft.com/office/drawing/2014/main" id="{710819AE-4E30-4158-88CA-1194E2986662}"/>
            </a:ext>
            <a:ext uri="{C183D7F6-B498-43B3-948B-1728B52AA6E4}">
              <adec:decorative xmlns:adec="http://schemas.microsoft.com/office/drawing/2017/decorative" val="0"/>
            </a:ext>
          </a:extLst>
        </xdr:cNvPr>
        <xdr:cNvSpPr/>
      </xdr:nvSpPr>
      <xdr:spPr>
        <a:xfrm>
          <a:off x="7482840" y="297180"/>
          <a:ext cx="4945380" cy="434340"/>
        </a:xfrm>
        <a:prstGeom prst="roundRect">
          <a:avLst/>
        </a:prstGeom>
        <a:solidFill>
          <a:schemeClr val="tx2"/>
        </a:solidFill>
        <a:ln>
          <a:noFill/>
        </a:ln>
        <a:effectLst>
          <a:outerShdw blurRad="50800" dist="50800" dir="5400000" algn="ctr" rotWithShape="0">
            <a:schemeClr val="tx1">
              <a:lumMod val="50000"/>
              <a:lumOff val="50000"/>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fontAlgn="t"/>
          <a:fld id="{5D994C32-A2D0-4103-8584-73E45650B9BC}" type="TxLink">
            <a:rPr lang="en-US" sz="1600" b="1" i="0" u="none" strike="noStrike">
              <a:solidFill>
                <a:schemeClr val="bg1"/>
              </a:solidFill>
              <a:effectLst/>
              <a:latin typeface="Aptos Narrow"/>
              <a:ea typeface="+mn-ea"/>
              <a:cs typeface="+mn-cs"/>
            </a:rPr>
            <a:pPr algn="ctr" fontAlgn="t"/>
            <a:t> Market Overview: 50 jobs | Avg Max Salary: PBT 2,015</a:t>
          </a:fld>
          <a:endParaRPr lang="en-US" sz="1600" b="1" i="0">
            <a:solidFill>
              <a:schemeClr val="bg1"/>
            </a:solidFill>
            <a:effectLst/>
            <a:latin typeface="+mn-lt"/>
            <a:ea typeface="+mn-ea"/>
            <a:cs typeface="+mn-cs"/>
          </a:endParaRPr>
        </a:p>
      </xdr:txBody>
    </xdr:sp>
    <xdr:clientData/>
  </xdr:twoCellAnchor>
  <xdr:twoCellAnchor>
    <xdr:from>
      <xdr:col>14</xdr:col>
      <xdr:colOff>601980</xdr:colOff>
      <xdr:row>3</xdr:row>
      <xdr:rowOff>22860</xdr:rowOff>
    </xdr:from>
    <xdr:to>
      <xdr:col>18</xdr:col>
      <xdr:colOff>349740</xdr:colOff>
      <xdr:row>8</xdr:row>
      <xdr:rowOff>91440</xdr:rowOff>
    </xdr:to>
    <xdr:sp macro="" textlink="pivot_table!N48">
      <xdr:nvSpPr>
        <xdr:cNvPr id="34" name="Rectangle: Rounded Corners 33">
          <a:extLst>
            <a:ext uri="{FF2B5EF4-FFF2-40B4-BE49-F238E27FC236}">
              <a16:creationId xmlns:a16="http://schemas.microsoft.com/office/drawing/2014/main" id="{59B0AB16-A529-41F1-A714-0833BACE379C}"/>
            </a:ext>
          </a:extLst>
        </xdr:cNvPr>
        <xdr:cNvSpPr/>
      </xdr:nvSpPr>
      <xdr:spPr>
        <a:xfrm>
          <a:off x="9989820" y="822960"/>
          <a:ext cx="2430000" cy="944880"/>
        </a:xfrm>
        <a:prstGeom prst="roundRect">
          <a:avLst/>
        </a:prstGeom>
        <a:solidFill>
          <a:schemeClr val="tx2"/>
        </a:solidFill>
        <a:ln>
          <a:noFill/>
        </a:ln>
        <a:effectLst>
          <a:outerShdw blurRad="50800" dist="50800" dir="5400000" algn="ctr" rotWithShape="0">
            <a:schemeClr val="tx1">
              <a:lumMod val="50000"/>
              <a:lumOff val="50000"/>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B9C2C37-3084-4410-B41C-A1BBAF6A731F}" type="TxLink">
            <a:rPr lang="en-US" sz="1200" b="1" i="0" u="none" strike="noStrike">
              <a:solidFill>
                <a:schemeClr val="bg1"/>
              </a:solidFill>
              <a:latin typeface="Aptos Narrow"/>
            </a:rPr>
            <a:pPr algn="ctr"/>
            <a:t>Location                                                  Yangon Region leads (7 postings)</a:t>
          </a:fld>
          <a:endParaRPr lang="en-US" sz="1200" b="1">
            <a:solidFill>
              <a:schemeClr val="bg1"/>
            </a:solidFill>
          </a:endParaRPr>
        </a:p>
      </xdr:txBody>
    </xdr:sp>
    <xdr:clientData/>
  </xdr:twoCellAnchor>
  <xdr:twoCellAnchor>
    <xdr:from>
      <xdr:col>11</xdr:col>
      <xdr:colOff>99060</xdr:colOff>
      <xdr:row>3</xdr:row>
      <xdr:rowOff>22860</xdr:rowOff>
    </xdr:from>
    <xdr:to>
      <xdr:col>14</xdr:col>
      <xdr:colOff>517380</xdr:colOff>
      <xdr:row>8</xdr:row>
      <xdr:rowOff>91440</xdr:rowOff>
    </xdr:to>
    <xdr:sp macro="" textlink="pivot_table!A16">
      <xdr:nvSpPr>
        <xdr:cNvPr id="37" name="Rectangle: Rounded Corners 36">
          <a:extLst>
            <a:ext uri="{FF2B5EF4-FFF2-40B4-BE49-F238E27FC236}">
              <a16:creationId xmlns:a16="http://schemas.microsoft.com/office/drawing/2014/main" id="{90720DBC-3F81-449C-B753-AB3D76533555}"/>
            </a:ext>
          </a:extLst>
        </xdr:cNvPr>
        <xdr:cNvSpPr/>
      </xdr:nvSpPr>
      <xdr:spPr>
        <a:xfrm>
          <a:off x="7475220" y="822960"/>
          <a:ext cx="2430000" cy="944880"/>
        </a:xfrm>
        <a:prstGeom prst="roundRect">
          <a:avLst/>
        </a:prstGeom>
        <a:solidFill>
          <a:schemeClr val="tx2"/>
        </a:solidFill>
        <a:ln>
          <a:noFill/>
        </a:ln>
        <a:effectLst>
          <a:outerShdw blurRad="50800" dist="50800" dir="5400000" algn="ctr" rotWithShape="0">
            <a:schemeClr val="tx1">
              <a:lumMod val="50000"/>
              <a:lumOff val="50000"/>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54265C8-8506-498D-9899-5A4D9A38912F}" type="TxLink">
            <a:rPr lang="en-US" sz="1200" b="1" i="0" u="none" strike="noStrike">
              <a:solidFill>
                <a:schemeClr val="bg1"/>
              </a:solidFill>
              <a:latin typeface="Aptos Narrow"/>
            </a:rPr>
            <a:t>Highest-paid role                                                                                                    Senior Data Scientist : £ 2450</a:t>
          </a:fld>
          <a:endParaRPr lang="en-US" sz="12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01.514084259259" backgroundQuery="1" createdVersion="7" refreshedVersion="7" minRefreshableVersion="3" recordCount="0" supportSubquery="1" supportAdvancedDrill="1" xr:uid="{CE61A430-8CAD-43C5-A8CB-9CF4C462178C}">
  <cacheSource type="external" connectionId="6"/>
  <cacheFields count="2">
    <cacheField name="[job_postings].[skill_list.job_location].[skill_list.job_location]" caption="skill_list.job_location" numFmtId="0" hierarchy="8" level="1">
      <sharedItems count="1">
        <s v="Yangon Region"/>
      </sharedItems>
    </cacheField>
    <cacheField name="[Measures].[Count of job_id]" caption="Count of job_id" numFmtId="0" hierarchy="36" level="32767"/>
  </cacheFields>
  <cacheHierarchies count="43">
    <cacheHierarchy uniqueName="[job_postings].[job_id]" caption="job_id" attribute="1" defaultMemberUniqueName="[job_postings].[job_id].[All]" allUniqueName="[job_postings].[job_id].[All]" dimensionUniqueName="[job_postings]" displayFolder="" count="0" memberValueDatatype="20" unbalanced="0"/>
    <cacheHierarchy uniqueName="[job_postings].[skill_list.job_id]" caption="skill_list.job_id" attribute="1" defaultMemberUniqueName="[job_postings].[skill_list.job_id].[All]" allUniqueName="[job_postings].[skill_list.job_id].[All]" dimensionUniqueName="[job_postings]" displayFolder="" count="0" memberValueDatatype="20" unbalanced="0"/>
    <cacheHierarchy uniqueName="[job_postings].[skill_list.company_id]" caption="skill_list.company_id" attribute="1" defaultMemberUniqueName="[job_postings].[skill_list.company_id].[All]" allUniqueName="[job_postings].[skill_list.company_id].[All]" dimensionUniqueName="[job_postings]" displayFolder="" count="0" memberValueDatatype="20" unbalanced="0"/>
    <cacheHierarchy uniqueName="[job_postings].[skill_list.job_title]" caption="skill_list.job_title" attribute="1" defaultMemberUniqueName="[job_postings].[skill_list.job_title].[All]" allUniqueName="[job_postings].[skill_list.job_title].[All]" dimensionUniqueName="[job_postings]" displayFolder="" count="0" memberValueDatatype="130" unbalanced="0"/>
    <cacheHierarchy uniqueName="[job_postings].[skill_list.job_description]" caption="skill_list.job_description" attribute="1" defaultMemberUniqueName="[job_postings].[skill_list.job_description].[All]" allUniqueName="[job_postings].[skill_list.job_description].[All]" dimensionUniqueName="[job_postings]" displayFolder="" count="0" memberValueDatatype="130" unbalanced="0"/>
    <cacheHierarchy uniqueName="[job_postings].[skill_list.salary_min]" caption="skill_list.salary_min" attribute="1" defaultMemberUniqueName="[job_postings].[skill_list.salary_min].[All]" allUniqueName="[job_postings].[skill_list.salary_min].[All]" dimensionUniqueName="[job_postings]" displayFolder="" count="0" memberValueDatatype="20" unbalanced="0"/>
    <cacheHierarchy uniqueName="[job_postings].[skill_list.salary_max]" caption="skill_list.salary_max" attribute="1" defaultMemberUniqueName="[job_postings].[skill_list.salary_max].[All]" allUniqueName="[job_postings].[skill_list.salary_max].[All]" dimensionUniqueName="[job_postings]" displayFolder="" count="0" memberValueDatatype="20" unbalanced="0"/>
    <cacheHierarchy uniqueName="[job_postings].[skill_list.salary_currency]" caption="skill_list.salary_currency" attribute="1" defaultMemberUniqueName="[job_postings].[skill_list.salary_currency].[All]" allUniqueName="[job_postings].[skill_list.salary_currency].[All]" dimensionUniqueName="[job_postings]" displayFolder="" count="0" memberValueDatatype="130" unbalanced="0"/>
    <cacheHierarchy uniqueName="[job_postings].[skill_list.job_location]" caption="skill_list.job_location" attribute="1" defaultMemberUniqueName="[job_postings].[skill_list.job_location].[All]" allUniqueName="[job_postings].[skill_list.job_location].[All]" dimensionUniqueName="[job_postings]" displayFolder="" count="2" memberValueDatatype="130" unbalanced="0">
      <fieldsUsage count="2">
        <fieldUsage x="-1"/>
        <fieldUsage x="0"/>
      </fieldsUsage>
    </cacheHierarchy>
    <cacheHierarchy uniqueName="[job_postings].[skill_list.job_type]" caption="skill_list.job_type" attribute="1" defaultMemberUniqueName="[job_postings].[skill_list.job_type].[All]" allUniqueName="[job_postings].[skill_list.job_type].[All]" dimensionUniqueName="[job_postings]" displayFolder="" count="0" memberValueDatatype="130" unbalanced="0"/>
    <cacheHierarchy uniqueName="[job_postings].[skill_list.experience_level]" caption="skill_list.experience_level" attribute="1" defaultMemberUniqueName="[job_postings].[skill_list.experience_level].[All]" allUniqueName="[job_postings].[skill_list.experience_level].[All]" dimensionUniqueName="[job_postings]" displayFolder="" count="0" memberValueDatatype="130" unbalanced="0"/>
    <cacheHierarchy uniqueName="[job_postings].[skill_list.application_deadline]" caption="skill_list.application_deadline" attribute="1" time="1" defaultMemberUniqueName="[job_postings].[skill_list.application_deadline].[All]" allUniqueName="[job_postings].[skill_list.application_deadline].[All]" dimensionUniqueName="[job_postings]" displayFolder="" count="0" memberValueDatatype="7" unbalanced="0"/>
    <cacheHierarchy uniqueName="[job_postings].[skill_list.posting_date]" caption="skill_list.posting_date" attribute="1" time="1" defaultMemberUniqueName="[job_postings].[skill_list.posting_date].[All]" allUniqueName="[job_postings].[skill_list.posting_date].[All]" dimensionUniqueName="[job_postings]" displayFolder="" count="0" memberValueDatatype="7" unbalanced="0"/>
    <cacheHierarchy uniqueName="[job_postings].[skill_list.is_active]" caption="skill_list.is_active" attribute="1" defaultMemberUniqueName="[job_postings].[skill_list.is_active].[All]" allUniqueName="[job_postings].[skill_list.is_active].[All]" dimensionUniqueName="[job_postings]" displayFolder="" count="0" memberValueDatatype="130" unbalanced="0"/>
    <cacheHierarchy uniqueName="[job_postings].[skill_list.applications.application_id]" caption="skill_list.applications.application_id" attribute="1" defaultMemberUniqueName="[job_postings].[skill_list.applications.application_id].[All]" allUniqueName="[job_postings].[skill_list.applications.application_id].[All]" dimensionUniqueName="[job_postings]" displayFolder="" count="0" memberValueDatatype="20" unbalanced="0"/>
    <cacheHierarchy uniqueName="[job_postings].[skill_list.applications.applicant_name]" caption="skill_list.applications.applicant_name" attribute="1" defaultMemberUniqueName="[job_postings].[skill_list.applications.applicant_name].[All]" allUniqueName="[job_postings].[skill_list.applications.applicant_name].[All]" dimensionUniqueName="[job_postings]" displayFolder="" count="0" memberValueDatatype="130" unbalanced="0"/>
    <cacheHierarchy uniqueName="[job_postings].[skill_list.applications.applicant_email]" caption="skill_list.applications.applicant_email" attribute="1" defaultMemberUniqueName="[job_postings].[skill_list.applications.applicant_email].[All]" allUniqueName="[job_postings].[skill_list.applications.applicant_email].[All]" dimensionUniqueName="[job_postings]" displayFolder="" count="0" memberValueDatatype="130" unbalanced="0"/>
    <cacheHierarchy uniqueName="[job_postings].[skill_list.applications.application_date]" caption="skill_list.applications.application_date" attribute="1" time="1" defaultMemberUniqueName="[job_postings].[skill_list.applications.application_date].[All]" allUniqueName="[job_postings].[skill_list.applications.application_date].[All]" dimensionUniqueName="[job_postings]" displayFolder="" count="0" memberValueDatatype="7" unbalanced="0"/>
    <cacheHierarchy uniqueName="[job_postings].[skill_list.applications.resume_file_path]" caption="skill_list.applications.resume_file_path" attribute="1" defaultMemberUniqueName="[job_postings].[skill_list.applications.resume_file_path].[All]" allUniqueName="[job_postings].[skill_list.applications.resume_file_path].[All]" dimensionUniqueName="[job_postings]" displayFolder="" count="0" memberValueDatatype="130" unbalanced="0"/>
    <cacheHierarchy uniqueName="[job_postings].[skill_list.applications.cover_letter_text]" caption="skill_list.applications.cover_letter_text" attribute="1" defaultMemberUniqueName="[job_postings].[skill_list.applications.cover_letter_text].[All]" allUniqueName="[job_postings].[skill_list.applications.cover_letter_text].[All]" dimensionUniqueName="[job_postings]" displayFolder="" count="0" memberValueDatatype="130" unbalanced="0"/>
    <cacheHierarchy uniqueName="[job_postings].[skill_list.applications.application_status]" caption="skill_list.applications.application_status" attribute="1" defaultMemberUniqueName="[job_postings].[skill_list.applications.application_status].[All]" allUniqueName="[job_postings].[skill_list.applications.application_status].[All]" dimensionUniqueName="[job_postings]" displayFolder="" count="0" memberValueDatatype="130" unbalanced="0"/>
    <cacheHierarchy uniqueName="[job_postings].[skill_list.applications.status_updated_date]" caption="skill_list.applications.status_updated_date" attribute="1" time="1" defaultMemberUniqueName="[job_postings].[skill_list.applications.status_updated_date].[All]" allUniqueName="[job_postings].[skill_list.applications.status_updated_date].[All]" dimensionUniqueName="[job_postings]" displayFolder="" count="0" memberValueDatatype="7" unbalanced="0"/>
    <cacheHierarchy uniqueName="[job_postings].[skill_list.companies.company_id]" caption="skill_list.companies.company_id" attribute="1" defaultMemberUniqueName="[job_postings].[skill_list.companies.company_id].[All]" allUniqueName="[job_postings].[skill_list.companies.company_id].[All]" dimensionUniqueName="[job_postings]" displayFolder="" count="0" memberValueDatatype="20" unbalanced="0"/>
    <cacheHierarchy uniqueName="[job_postings].[skill_list.companies.company_name]" caption="skill_list.companies.company_name" attribute="1" defaultMemberUniqueName="[job_postings].[skill_list.companies.company_name].[All]" allUniqueName="[job_postings].[skill_list.companies.company_name].[All]" dimensionUniqueName="[job_postings]" displayFolder="" count="0" memberValueDatatype="130" unbalanced="0"/>
    <cacheHierarchy uniqueName="[job_postings].[skill_list.companies.industry]" caption="skill_list.companies.industry" attribute="1" defaultMemberUniqueName="[job_postings].[skill_list.companies.industry].[All]" allUniqueName="[job_postings].[skill_list.companies.industry].[All]" dimensionUniqueName="[job_postings]" displayFolder="" count="0" memberValueDatatype="130" unbalanced="0"/>
    <cacheHierarchy uniqueName="[job_postings].[skill_list.companies.company_size]" caption="skill_list.companies.company_size" attribute="1" defaultMemberUniqueName="[job_postings].[skill_list.companies.company_size].[All]" allUniqueName="[job_postings].[skill_list.companies.company_size].[All]" dimensionUniqueName="[job_postings]" displayFolder="" count="0" memberValueDatatype="130" unbalanced="0"/>
    <cacheHierarchy uniqueName="[job_postings].[skill_list.companies.headquarters_location]" caption="skill_list.companies.headquarters_location" attribute="1" defaultMemberUniqueName="[job_postings].[skill_list.companies.headquarters_location].[All]" allUniqueName="[job_postings].[skill_list.companies.headquarters_location].[All]" dimensionUniqueName="[job_postings]" displayFolder="" count="0" memberValueDatatype="130" unbalanced="0"/>
    <cacheHierarchy uniqueName="[job_postings].[skill_list.companies.website]" caption="skill_list.companies.website" attribute="1" defaultMemberUniqueName="[job_postings].[skill_list.companies.website].[All]" allUniqueName="[job_postings].[skill_list.companies.website].[All]" dimensionUniqueName="[job_postings]" displayFolder="" count="0" memberValueDatatype="130" unbalanced="0"/>
    <cacheHierarchy uniqueName="[job_postings].[skill_list.companies.created_date]" caption="skill_list.companies.created_date" attribute="1" time="1" defaultMemberUniqueName="[job_postings].[skill_list.companies.created_date].[All]" allUniqueName="[job_postings].[skill_list.companies.created_date].[All]" dimensionUniqueName="[job_postings]" displayFolder="" count="0" memberValueDatatype="7" unbalanced="0"/>
    <cacheHierarchy uniqueName="[job_postings].[skill_lists]" caption="skill_lists" attribute="1" defaultMemberUniqueName="[job_postings].[skill_lists].[All]" allUniqueName="[job_postings].[skill_lists].[All]" dimensionUniqueName="[job_postings]"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_lists.1]" caption="skill_lists.1" attribute="1" defaultMemberUniqueName="[job_skills].[skill_lists.1].[All]" allUniqueName="[job_skills].[skill_lists.1].[All]" dimensionUniqueName="[job_skills]" displayFolder="" count="0" memberValueDatatype="130" unbalanced="0"/>
    <cacheHierarchy uniqueName="[Measures].[__XL_Count job_postings]" caption="__XL_Count job_postings" measure="1" displayFolder="" measureGroup="job_postings"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y uniqueName="[Measures].[Sum of job_id]" caption="Sum of job_id" measure="1" displayFolder="" measureGroup="job_postings"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postings"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job_id]" caption="Average of job_id" measure="1" displayFolder="" measureGroup="job_postings" count="0" hidden="1">
      <extLst>
        <ext xmlns:x15="http://schemas.microsoft.com/office/spreadsheetml/2010/11/main" uri="{B97F6D7D-B522-45F9-BDA1-12C45D357490}">
          <x15:cacheHierarchy aggregatedColumn="0"/>
        </ext>
      </extLst>
    </cacheHierarchy>
    <cacheHierarchy uniqueName="[Measures].[Sum of job_id 2]" caption="Sum of job_id 2" measure="1" displayFolder="" measureGroup="job_skills" count="0" hidden="1">
      <extLst>
        <ext xmlns:x15="http://schemas.microsoft.com/office/spreadsheetml/2010/11/main" uri="{B97F6D7D-B522-45F9-BDA1-12C45D357490}">
          <x15:cacheHierarchy aggregatedColumn="30"/>
        </ext>
      </extLst>
    </cacheHierarchy>
    <cacheHierarchy uniqueName="[Measures].[Count of job_id 2]" caption="Count of job_id 2" measure="1" displayFolder="" measureGroup="job_skills" count="0" hidden="1">
      <extLst>
        <ext xmlns:x15="http://schemas.microsoft.com/office/spreadsheetml/2010/11/main" uri="{B97F6D7D-B522-45F9-BDA1-12C45D357490}">
          <x15:cacheHierarchy aggregatedColumn="30"/>
        </ext>
      </extLst>
    </cacheHierarchy>
    <cacheHierarchy uniqueName="[Measures].[Sum of skill_list.salary_max]" caption="Sum of skill_list.salary_max" measure="1" displayFolder="" measureGroup="job_postings" count="0" hidden="1">
      <extLst>
        <ext xmlns:x15="http://schemas.microsoft.com/office/spreadsheetml/2010/11/main" uri="{B97F6D7D-B522-45F9-BDA1-12C45D357490}">
          <x15:cacheHierarchy aggregatedColumn="6"/>
        </ext>
      </extLst>
    </cacheHierarchy>
    <cacheHierarchy uniqueName="[Measures].[Average of skill_list.salary_max]" caption="Average of skill_list.salary_max" measure="1" displayFolder="" measureGroup="job_postings" count="0" hidden="1">
      <extLst>
        <ext xmlns:x15="http://schemas.microsoft.com/office/spreadsheetml/2010/11/main" uri="{B97F6D7D-B522-45F9-BDA1-12C45D357490}">
          <x15:cacheHierarchy aggregatedColumn="6"/>
        </ext>
      </extLst>
    </cacheHierarchy>
    <cacheHierarchy uniqueName="[Measures].[Count of skill_list.job_location]" caption="Count of skill_list.job_location" measure="1" displayFolder="" measureGroup="job_postings" count="0" hidden="1">
      <extLst>
        <ext xmlns:x15="http://schemas.microsoft.com/office/spreadsheetml/2010/11/main" uri="{B97F6D7D-B522-45F9-BDA1-12C45D357490}">
          <x15:cacheHierarchy aggregatedColumn="8"/>
        </ext>
      </extLst>
    </cacheHierarchy>
  </cacheHierarchies>
  <kpis count="0"/>
  <dimensions count="3">
    <dimension name="job_postings" uniqueName="[job_postings]" caption="job_postings"/>
    <dimension name="job_skills" uniqueName="[job_skills]" caption="job_skills"/>
    <dimension measure="1" name="Measures" uniqueName="[Measures]" caption="Measures"/>
  </dimensions>
  <measureGroups count="2">
    <measureGroup name="job_postings" caption="job_postings"/>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01.532942824073" backgroundQuery="1" createdVersion="8" refreshedVersion="7" minRefreshableVersion="3" recordCount="0" supportSubquery="1" supportAdvancedDrill="1" xr:uid="{BD732CEB-51B8-4DD1-9DF3-B11CF45FBEE1}">
  <cacheSource type="external" connectionId="6"/>
  <cacheFields count="3">
    <cacheField name="[job_postings].[skill_list.job_title].[skill_list.job_title]" caption="skill_list.job_title" numFmtId="0" hierarchy="3" level="1">
      <sharedItems count="6">
        <s v="Cloud Engineer"/>
        <s v="Machine Learning Engineer"/>
        <s v="Senior Data Analyst"/>
        <s v="Senior Data Engineer"/>
        <s v="Senior Data Scientist"/>
        <s v="Business Analyst" u="1"/>
      </sharedItems>
    </cacheField>
    <cacheField name="[Measures].[Average of skill_list.salary_max]" caption="Average of skill_list.salary_max" numFmtId="0" hierarchy="41" level="32767"/>
    <cacheField name="[job_postings].[skill_list.applications.application_status].[skill_list.applications.application_status]" caption="skill_list.applications.application_status" numFmtId="0" hierarchy="20" level="1">
      <sharedItems containsSemiMixedTypes="0" containsNonDate="0" containsString="0"/>
    </cacheField>
  </cacheFields>
  <cacheHierarchies count="43">
    <cacheHierarchy uniqueName="[job_postings].[job_id]" caption="job_id" attribute="1" defaultMemberUniqueName="[job_postings].[job_id].[All]" allUniqueName="[job_postings].[job_id].[All]" dimensionUniqueName="[job_postings]" displayFolder="" count="0" memberValueDatatype="20" unbalanced="0"/>
    <cacheHierarchy uniqueName="[job_postings].[skill_list.job_id]" caption="skill_list.job_id" attribute="1" defaultMemberUniqueName="[job_postings].[skill_list.job_id].[All]" allUniqueName="[job_postings].[skill_list.job_id].[All]" dimensionUniqueName="[job_postings]" displayFolder="" count="0" memberValueDatatype="20" unbalanced="0"/>
    <cacheHierarchy uniqueName="[job_postings].[skill_list.company_id]" caption="skill_list.company_id" attribute="1" defaultMemberUniqueName="[job_postings].[skill_list.company_id].[All]" allUniqueName="[job_postings].[skill_list.company_id].[All]" dimensionUniqueName="[job_postings]" displayFolder="" count="0" memberValueDatatype="20" unbalanced="0"/>
    <cacheHierarchy uniqueName="[job_postings].[skill_list.job_title]" caption="skill_list.job_title" attribute="1" defaultMemberUniqueName="[job_postings].[skill_list.job_title].[All]" allUniqueName="[job_postings].[skill_list.job_title].[All]" dimensionUniqueName="[job_postings]" displayFolder="" count="2" memberValueDatatype="130" unbalanced="0">
      <fieldsUsage count="2">
        <fieldUsage x="-1"/>
        <fieldUsage x="0"/>
      </fieldsUsage>
    </cacheHierarchy>
    <cacheHierarchy uniqueName="[job_postings].[skill_list.job_description]" caption="skill_list.job_description" attribute="1" defaultMemberUniqueName="[job_postings].[skill_list.job_description].[All]" allUniqueName="[job_postings].[skill_list.job_description].[All]" dimensionUniqueName="[job_postings]" displayFolder="" count="0" memberValueDatatype="130" unbalanced="0"/>
    <cacheHierarchy uniqueName="[job_postings].[skill_list.salary_min]" caption="skill_list.salary_min" attribute="1" defaultMemberUniqueName="[job_postings].[skill_list.salary_min].[All]" allUniqueName="[job_postings].[skill_list.salary_min].[All]" dimensionUniqueName="[job_postings]" displayFolder="" count="0" memberValueDatatype="20" unbalanced="0"/>
    <cacheHierarchy uniqueName="[job_postings].[skill_list.salary_max]" caption="skill_list.salary_max" attribute="1" defaultMemberUniqueName="[job_postings].[skill_list.salary_max].[All]" allUniqueName="[job_postings].[skill_list.salary_max].[All]" dimensionUniqueName="[job_postings]" displayFolder="" count="0" memberValueDatatype="20" unbalanced="0"/>
    <cacheHierarchy uniqueName="[job_postings].[skill_list.salary_currency]" caption="skill_list.salary_currency" attribute="1" defaultMemberUniqueName="[job_postings].[skill_list.salary_currency].[All]" allUniqueName="[job_postings].[skill_list.salary_currency].[All]" dimensionUniqueName="[job_postings]" displayFolder="" count="0" memberValueDatatype="130" unbalanced="0"/>
    <cacheHierarchy uniqueName="[job_postings].[skill_list.job_location]" caption="skill_list.job_location" attribute="1" defaultMemberUniqueName="[job_postings].[skill_list.job_location].[All]" allUniqueName="[job_postings].[skill_list.job_location].[All]" dimensionUniqueName="[job_postings]" displayFolder="" count="0" memberValueDatatype="130" unbalanced="0"/>
    <cacheHierarchy uniqueName="[job_postings].[skill_list.job_type]" caption="skill_list.job_type" attribute="1" defaultMemberUniqueName="[job_postings].[skill_list.job_type].[All]" allUniqueName="[job_postings].[skill_list.job_type].[All]" dimensionUniqueName="[job_postings]" displayFolder="" count="2" memberValueDatatype="130" unbalanced="0"/>
    <cacheHierarchy uniqueName="[job_postings].[skill_list.experience_level]" caption="skill_list.experience_level" attribute="1" defaultMemberUniqueName="[job_postings].[skill_list.experience_level].[All]" allUniqueName="[job_postings].[skill_list.experience_level].[All]" dimensionUniqueName="[job_postings]" displayFolder="" count="0" memberValueDatatype="130" unbalanced="0"/>
    <cacheHierarchy uniqueName="[job_postings].[skill_list.application_deadline]" caption="skill_list.application_deadline" attribute="1" time="1" defaultMemberUniqueName="[job_postings].[skill_list.application_deadline].[All]" allUniqueName="[job_postings].[skill_list.application_deadline].[All]" dimensionUniqueName="[job_postings]" displayFolder="" count="0" memberValueDatatype="7" unbalanced="0"/>
    <cacheHierarchy uniqueName="[job_postings].[skill_list.posting_date]" caption="skill_list.posting_date" attribute="1" time="1" defaultMemberUniqueName="[job_postings].[skill_list.posting_date].[All]" allUniqueName="[job_postings].[skill_list.posting_date].[All]" dimensionUniqueName="[job_postings]" displayFolder="" count="0" memberValueDatatype="7" unbalanced="0"/>
    <cacheHierarchy uniqueName="[job_postings].[skill_list.is_active]" caption="skill_list.is_active" attribute="1" defaultMemberUniqueName="[job_postings].[skill_list.is_active].[All]" allUniqueName="[job_postings].[skill_list.is_active].[All]" dimensionUniqueName="[job_postings]" displayFolder="" count="0" memberValueDatatype="130" unbalanced="0"/>
    <cacheHierarchy uniqueName="[job_postings].[skill_list.applications.application_id]" caption="skill_list.applications.application_id" attribute="1" defaultMemberUniqueName="[job_postings].[skill_list.applications.application_id].[All]" allUniqueName="[job_postings].[skill_list.applications.application_id].[All]" dimensionUniqueName="[job_postings]" displayFolder="" count="0" memberValueDatatype="20" unbalanced="0"/>
    <cacheHierarchy uniqueName="[job_postings].[skill_list.applications.applicant_name]" caption="skill_list.applications.applicant_name" attribute="1" defaultMemberUniqueName="[job_postings].[skill_list.applications.applicant_name].[All]" allUniqueName="[job_postings].[skill_list.applications.applicant_name].[All]" dimensionUniqueName="[job_postings]" displayFolder="" count="0" memberValueDatatype="130" unbalanced="0"/>
    <cacheHierarchy uniqueName="[job_postings].[skill_list.applications.applicant_email]" caption="skill_list.applications.applicant_email" attribute="1" defaultMemberUniqueName="[job_postings].[skill_list.applications.applicant_email].[All]" allUniqueName="[job_postings].[skill_list.applications.applicant_email].[All]" dimensionUniqueName="[job_postings]" displayFolder="" count="0" memberValueDatatype="130" unbalanced="0"/>
    <cacheHierarchy uniqueName="[job_postings].[skill_list.applications.application_date]" caption="skill_list.applications.application_date" attribute="1" time="1" defaultMemberUniqueName="[job_postings].[skill_list.applications.application_date].[All]" allUniqueName="[job_postings].[skill_list.applications.application_date].[All]" dimensionUniqueName="[job_postings]" displayFolder="" count="0" memberValueDatatype="7" unbalanced="0"/>
    <cacheHierarchy uniqueName="[job_postings].[skill_list.applications.resume_file_path]" caption="skill_list.applications.resume_file_path" attribute="1" defaultMemberUniqueName="[job_postings].[skill_list.applications.resume_file_path].[All]" allUniqueName="[job_postings].[skill_list.applications.resume_file_path].[All]" dimensionUniqueName="[job_postings]" displayFolder="" count="0" memberValueDatatype="130" unbalanced="0"/>
    <cacheHierarchy uniqueName="[job_postings].[skill_list.applications.cover_letter_text]" caption="skill_list.applications.cover_letter_text" attribute="1" defaultMemberUniqueName="[job_postings].[skill_list.applications.cover_letter_text].[All]" allUniqueName="[job_postings].[skill_list.applications.cover_letter_text].[All]" dimensionUniqueName="[job_postings]" displayFolder="" count="0" memberValueDatatype="130" unbalanced="0"/>
    <cacheHierarchy uniqueName="[job_postings].[skill_list.applications.application_status]" caption="skill_list.applications.application_status" attribute="1" defaultMemberUniqueName="[job_postings].[skill_list.applications.application_status].[All]" allUniqueName="[job_postings].[skill_list.applications.application_status].[All]" dimensionUniqueName="[job_postings]" displayFolder="" count="2" memberValueDatatype="130" unbalanced="0">
      <fieldsUsage count="2">
        <fieldUsage x="-1"/>
        <fieldUsage x="2"/>
      </fieldsUsage>
    </cacheHierarchy>
    <cacheHierarchy uniqueName="[job_postings].[skill_list.applications.status_updated_date]" caption="skill_list.applications.status_updated_date" attribute="1" time="1" defaultMemberUniqueName="[job_postings].[skill_list.applications.status_updated_date].[All]" allUniqueName="[job_postings].[skill_list.applications.status_updated_date].[All]" dimensionUniqueName="[job_postings]" displayFolder="" count="0" memberValueDatatype="7" unbalanced="0"/>
    <cacheHierarchy uniqueName="[job_postings].[skill_list.companies.company_id]" caption="skill_list.companies.company_id" attribute="1" defaultMemberUniqueName="[job_postings].[skill_list.companies.company_id].[All]" allUniqueName="[job_postings].[skill_list.companies.company_id].[All]" dimensionUniqueName="[job_postings]" displayFolder="" count="0" memberValueDatatype="20" unbalanced="0"/>
    <cacheHierarchy uniqueName="[job_postings].[skill_list.companies.company_name]" caption="skill_list.companies.company_name" attribute="1" defaultMemberUniqueName="[job_postings].[skill_list.companies.company_name].[All]" allUniqueName="[job_postings].[skill_list.companies.company_name].[All]" dimensionUniqueName="[job_postings]" displayFolder="" count="0" memberValueDatatype="130" unbalanced="0"/>
    <cacheHierarchy uniqueName="[job_postings].[skill_list.companies.industry]" caption="skill_list.companies.industry" attribute="1" defaultMemberUniqueName="[job_postings].[skill_list.companies.industry].[All]" allUniqueName="[job_postings].[skill_list.companies.industry].[All]" dimensionUniqueName="[job_postings]" displayFolder="" count="0" memberValueDatatype="130" unbalanced="0"/>
    <cacheHierarchy uniqueName="[job_postings].[skill_list.companies.company_size]" caption="skill_list.companies.company_size" attribute="1" defaultMemberUniqueName="[job_postings].[skill_list.companies.company_size].[All]" allUniqueName="[job_postings].[skill_list.companies.company_size].[All]" dimensionUniqueName="[job_postings]" displayFolder="" count="0" memberValueDatatype="130" unbalanced="0"/>
    <cacheHierarchy uniqueName="[job_postings].[skill_list.companies.headquarters_location]" caption="skill_list.companies.headquarters_location" attribute="1" defaultMemberUniqueName="[job_postings].[skill_list.companies.headquarters_location].[All]" allUniqueName="[job_postings].[skill_list.companies.headquarters_location].[All]" dimensionUniqueName="[job_postings]" displayFolder="" count="0" memberValueDatatype="130" unbalanced="0"/>
    <cacheHierarchy uniqueName="[job_postings].[skill_list.companies.website]" caption="skill_list.companies.website" attribute="1" defaultMemberUniqueName="[job_postings].[skill_list.companies.website].[All]" allUniqueName="[job_postings].[skill_list.companies.website].[All]" dimensionUniqueName="[job_postings]" displayFolder="" count="0" memberValueDatatype="130" unbalanced="0"/>
    <cacheHierarchy uniqueName="[job_postings].[skill_list.companies.created_date]" caption="skill_list.companies.created_date" attribute="1" time="1" defaultMemberUniqueName="[job_postings].[skill_list.companies.created_date].[All]" allUniqueName="[job_postings].[skill_list.companies.created_date].[All]" dimensionUniqueName="[job_postings]" displayFolder="" count="0" memberValueDatatype="7" unbalanced="0"/>
    <cacheHierarchy uniqueName="[job_postings].[skill_lists]" caption="skill_lists" attribute="1" defaultMemberUniqueName="[job_postings].[skill_lists].[All]" allUniqueName="[job_postings].[skill_lists].[All]" dimensionUniqueName="[job_postings]"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_lists.1]" caption="skill_lists.1" attribute="1" defaultMemberUniqueName="[job_skills].[skill_lists.1].[All]" allUniqueName="[job_skills].[skill_lists.1].[All]" dimensionUniqueName="[job_skills]" displayFolder="" count="0" memberValueDatatype="130" unbalanced="0"/>
    <cacheHierarchy uniqueName="[Measures].[__XL_Count job_postings]" caption="__XL_Count job_postings" measure="1" displayFolder="" measureGroup="job_postings"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y uniqueName="[Measures].[Sum of job_id]" caption="Sum of job_id" measure="1" displayFolder="" measureGroup="job_postings"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postings" count="0" hidden="1">
      <extLst>
        <ext xmlns:x15="http://schemas.microsoft.com/office/spreadsheetml/2010/11/main" uri="{B97F6D7D-B522-45F9-BDA1-12C45D357490}">
          <x15:cacheHierarchy aggregatedColumn="0"/>
        </ext>
      </extLst>
    </cacheHierarchy>
    <cacheHierarchy uniqueName="[Measures].[Average of job_id]" caption="Average of job_id" measure="1" displayFolder="" measureGroup="job_postings" count="0" hidden="1">
      <extLst>
        <ext xmlns:x15="http://schemas.microsoft.com/office/spreadsheetml/2010/11/main" uri="{B97F6D7D-B522-45F9-BDA1-12C45D357490}">
          <x15:cacheHierarchy aggregatedColumn="0"/>
        </ext>
      </extLst>
    </cacheHierarchy>
    <cacheHierarchy uniqueName="[Measures].[Sum of job_id 2]" caption="Sum of job_id 2" measure="1" displayFolder="" measureGroup="job_skills" count="0" hidden="1">
      <extLst>
        <ext xmlns:x15="http://schemas.microsoft.com/office/spreadsheetml/2010/11/main" uri="{B97F6D7D-B522-45F9-BDA1-12C45D357490}">
          <x15:cacheHierarchy aggregatedColumn="30"/>
        </ext>
      </extLst>
    </cacheHierarchy>
    <cacheHierarchy uniqueName="[Measures].[Count of job_id 2]" caption="Count of job_id 2" measure="1" displayFolder="" measureGroup="job_skills" count="0" hidden="1">
      <extLst>
        <ext xmlns:x15="http://schemas.microsoft.com/office/spreadsheetml/2010/11/main" uri="{B97F6D7D-B522-45F9-BDA1-12C45D357490}">
          <x15:cacheHierarchy aggregatedColumn="30"/>
        </ext>
      </extLst>
    </cacheHierarchy>
    <cacheHierarchy uniqueName="[Measures].[Sum of skill_list.salary_max]" caption="Sum of skill_list.salary_max" measure="1" displayFolder="" measureGroup="job_postings" count="0" hidden="1">
      <extLst>
        <ext xmlns:x15="http://schemas.microsoft.com/office/spreadsheetml/2010/11/main" uri="{B97F6D7D-B522-45F9-BDA1-12C45D357490}">
          <x15:cacheHierarchy aggregatedColumn="6"/>
        </ext>
      </extLst>
    </cacheHierarchy>
    <cacheHierarchy uniqueName="[Measures].[Average of skill_list.salary_max]" caption="Average of skill_list.salary_max" measure="1" displayFolder="" measureGroup="job_postings"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skill_list.job_location]" caption="Count of skill_list.job_location" measure="1" displayFolder="" measureGroup="job_postings" count="0" hidden="1">
      <extLst>
        <ext xmlns:x15="http://schemas.microsoft.com/office/spreadsheetml/2010/11/main" uri="{B97F6D7D-B522-45F9-BDA1-12C45D357490}">
          <x15:cacheHierarchy aggregatedColumn="8"/>
        </ext>
      </extLst>
    </cacheHierarchy>
  </cacheHierarchies>
  <kpis count="0"/>
  <dimensions count="3">
    <dimension name="job_postings" uniqueName="[job_postings]" caption="job_postings"/>
    <dimension name="job_skills" uniqueName="[job_skills]" caption="job_skills"/>
    <dimension measure="1" name="Measures" uniqueName="[Measures]" caption="Measures"/>
  </dimensions>
  <measureGroups count="2">
    <measureGroup name="job_postings" caption="job_postings"/>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01.532943171296" backgroundQuery="1" createdVersion="8" refreshedVersion="7" minRefreshableVersion="3" recordCount="0" supportSubquery="1" supportAdvancedDrill="1" xr:uid="{99AC5A7A-ADA8-4D45-8A3B-49447B55FC8C}">
  <cacheSource type="external" connectionId="6"/>
  <cacheFields count="3">
    <cacheField name="[job_postings].[skill_list.experience_level].[skill_list.experience_level]" caption="skill_list.experience_level" numFmtId="0" hierarchy="10" level="1">
      <sharedItems count="3">
        <s v="Entry"/>
        <s v="Mid"/>
        <s v="Senior"/>
      </sharedItems>
    </cacheField>
    <cacheField name="[Measures].[Count of job_id]" caption="Count of job_id" numFmtId="0" hierarchy="36" level="32767"/>
    <cacheField name="[job_postings].[skill_list.applications.application_status].[skill_list.applications.application_status]" caption="skill_list.applications.application_status" numFmtId="0" hierarchy="20" level="1">
      <sharedItems containsSemiMixedTypes="0" containsNonDate="0" containsString="0"/>
    </cacheField>
  </cacheFields>
  <cacheHierarchies count="43">
    <cacheHierarchy uniqueName="[job_postings].[job_id]" caption="job_id" attribute="1" defaultMemberUniqueName="[job_postings].[job_id].[All]" allUniqueName="[job_postings].[job_id].[All]" dimensionUniqueName="[job_postings]" displayFolder="" count="0" memberValueDatatype="20" unbalanced="0"/>
    <cacheHierarchy uniqueName="[job_postings].[skill_list.job_id]" caption="skill_list.job_id" attribute="1" defaultMemberUniqueName="[job_postings].[skill_list.job_id].[All]" allUniqueName="[job_postings].[skill_list.job_id].[All]" dimensionUniqueName="[job_postings]" displayFolder="" count="0" memberValueDatatype="20" unbalanced="0"/>
    <cacheHierarchy uniqueName="[job_postings].[skill_list.company_id]" caption="skill_list.company_id" attribute="1" defaultMemberUniqueName="[job_postings].[skill_list.company_id].[All]" allUniqueName="[job_postings].[skill_list.company_id].[All]" dimensionUniqueName="[job_postings]" displayFolder="" count="0" memberValueDatatype="20" unbalanced="0"/>
    <cacheHierarchy uniqueName="[job_postings].[skill_list.job_title]" caption="skill_list.job_title" attribute="1" defaultMemberUniqueName="[job_postings].[skill_list.job_title].[All]" allUniqueName="[job_postings].[skill_list.job_title].[All]" dimensionUniqueName="[job_postings]" displayFolder="" count="0" memberValueDatatype="130" unbalanced="0"/>
    <cacheHierarchy uniqueName="[job_postings].[skill_list.job_description]" caption="skill_list.job_description" attribute="1" defaultMemberUniqueName="[job_postings].[skill_list.job_description].[All]" allUniqueName="[job_postings].[skill_list.job_description].[All]" dimensionUniqueName="[job_postings]" displayFolder="" count="0" memberValueDatatype="130" unbalanced="0"/>
    <cacheHierarchy uniqueName="[job_postings].[skill_list.salary_min]" caption="skill_list.salary_min" attribute="1" defaultMemberUniqueName="[job_postings].[skill_list.salary_min].[All]" allUniqueName="[job_postings].[skill_list.salary_min].[All]" dimensionUniqueName="[job_postings]" displayFolder="" count="0" memberValueDatatype="20" unbalanced="0"/>
    <cacheHierarchy uniqueName="[job_postings].[skill_list.salary_max]" caption="skill_list.salary_max" attribute="1" defaultMemberUniqueName="[job_postings].[skill_list.salary_max].[All]" allUniqueName="[job_postings].[skill_list.salary_max].[All]" dimensionUniqueName="[job_postings]" displayFolder="" count="0" memberValueDatatype="20" unbalanced="0"/>
    <cacheHierarchy uniqueName="[job_postings].[skill_list.salary_currency]" caption="skill_list.salary_currency" attribute="1" defaultMemberUniqueName="[job_postings].[skill_list.salary_currency].[All]" allUniqueName="[job_postings].[skill_list.salary_currency].[All]" dimensionUniqueName="[job_postings]" displayFolder="" count="0" memberValueDatatype="130" unbalanced="0"/>
    <cacheHierarchy uniqueName="[job_postings].[skill_list.job_location]" caption="skill_list.job_location" attribute="1" defaultMemberUniqueName="[job_postings].[skill_list.job_location].[All]" allUniqueName="[job_postings].[skill_list.job_location].[All]" dimensionUniqueName="[job_postings]" displayFolder="" count="0" memberValueDatatype="130" unbalanced="0"/>
    <cacheHierarchy uniqueName="[job_postings].[skill_list.job_type]" caption="skill_list.job_type" attribute="1" defaultMemberUniqueName="[job_postings].[skill_list.job_type].[All]" allUniqueName="[job_postings].[skill_list.job_type].[All]" dimensionUniqueName="[job_postings]" displayFolder="" count="2" memberValueDatatype="130" unbalanced="0"/>
    <cacheHierarchy uniqueName="[job_postings].[skill_list.experience_level]" caption="skill_list.experience_level" attribute="1" defaultMemberUniqueName="[job_postings].[skill_list.experience_level].[All]" allUniqueName="[job_postings].[skill_list.experience_level].[All]" dimensionUniqueName="[job_postings]" displayFolder="" count="2" memberValueDatatype="130" unbalanced="0">
      <fieldsUsage count="2">
        <fieldUsage x="-1"/>
        <fieldUsage x="0"/>
      </fieldsUsage>
    </cacheHierarchy>
    <cacheHierarchy uniqueName="[job_postings].[skill_list.application_deadline]" caption="skill_list.application_deadline" attribute="1" time="1" defaultMemberUniqueName="[job_postings].[skill_list.application_deadline].[All]" allUniqueName="[job_postings].[skill_list.application_deadline].[All]" dimensionUniqueName="[job_postings]" displayFolder="" count="0" memberValueDatatype="7" unbalanced="0"/>
    <cacheHierarchy uniqueName="[job_postings].[skill_list.posting_date]" caption="skill_list.posting_date" attribute="1" time="1" defaultMemberUniqueName="[job_postings].[skill_list.posting_date].[All]" allUniqueName="[job_postings].[skill_list.posting_date].[All]" dimensionUniqueName="[job_postings]" displayFolder="" count="0" memberValueDatatype="7" unbalanced="0"/>
    <cacheHierarchy uniqueName="[job_postings].[skill_list.is_active]" caption="skill_list.is_active" attribute="1" defaultMemberUniqueName="[job_postings].[skill_list.is_active].[All]" allUniqueName="[job_postings].[skill_list.is_active].[All]" dimensionUniqueName="[job_postings]" displayFolder="" count="0" memberValueDatatype="130" unbalanced="0"/>
    <cacheHierarchy uniqueName="[job_postings].[skill_list.applications.application_id]" caption="skill_list.applications.application_id" attribute="1" defaultMemberUniqueName="[job_postings].[skill_list.applications.application_id].[All]" allUniqueName="[job_postings].[skill_list.applications.application_id].[All]" dimensionUniqueName="[job_postings]" displayFolder="" count="0" memberValueDatatype="20" unbalanced="0"/>
    <cacheHierarchy uniqueName="[job_postings].[skill_list.applications.applicant_name]" caption="skill_list.applications.applicant_name" attribute="1" defaultMemberUniqueName="[job_postings].[skill_list.applications.applicant_name].[All]" allUniqueName="[job_postings].[skill_list.applications.applicant_name].[All]" dimensionUniqueName="[job_postings]" displayFolder="" count="0" memberValueDatatype="130" unbalanced="0"/>
    <cacheHierarchy uniqueName="[job_postings].[skill_list.applications.applicant_email]" caption="skill_list.applications.applicant_email" attribute="1" defaultMemberUniqueName="[job_postings].[skill_list.applications.applicant_email].[All]" allUniqueName="[job_postings].[skill_list.applications.applicant_email].[All]" dimensionUniqueName="[job_postings]" displayFolder="" count="0" memberValueDatatype="130" unbalanced="0"/>
    <cacheHierarchy uniqueName="[job_postings].[skill_list.applications.application_date]" caption="skill_list.applications.application_date" attribute="1" time="1" defaultMemberUniqueName="[job_postings].[skill_list.applications.application_date].[All]" allUniqueName="[job_postings].[skill_list.applications.application_date].[All]" dimensionUniqueName="[job_postings]" displayFolder="" count="0" memberValueDatatype="7" unbalanced="0"/>
    <cacheHierarchy uniqueName="[job_postings].[skill_list.applications.resume_file_path]" caption="skill_list.applications.resume_file_path" attribute="1" defaultMemberUniqueName="[job_postings].[skill_list.applications.resume_file_path].[All]" allUniqueName="[job_postings].[skill_list.applications.resume_file_path].[All]" dimensionUniqueName="[job_postings]" displayFolder="" count="0" memberValueDatatype="130" unbalanced="0"/>
    <cacheHierarchy uniqueName="[job_postings].[skill_list.applications.cover_letter_text]" caption="skill_list.applications.cover_letter_text" attribute="1" defaultMemberUniqueName="[job_postings].[skill_list.applications.cover_letter_text].[All]" allUniqueName="[job_postings].[skill_list.applications.cover_letter_text].[All]" dimensionUniqueName="[job_postings]" displayFolder="" count="0" memberValueDatatype="130" unbalanced="0"/>
    <cacheHierarchy uniqueName="[job_postings].[skill_list.applications.application_status]" caption="skill_list.applications.application_status" attribute="1" defaultMemberUniqueName="[job_postings].[skill_list.applications.application_status].[All]" allUniqueName="[job_postings].[skill_list.applications.application_status].[All]" dimensionUniqueName="[job_postings]" displayFolder="" count="2" memberValueDatatype="130" unbalanced="0">
      <fieldsUsage count="2">
        <fieldUsage x="-1"/>
        <fieldUsage x="2"/>
      </fieldsUsage>
    </cacheHierarchy>
    <cacheHierarchy uniqueName="[job_postings].[skill_list.applications.status_updated_date]" caption="skill_list.applications.status_updated_date" attribute="1" time="1" defaultMemberUniqueName="[job_postings].[skill_list.applications.status_updated_date].[All]" allUniqueName="[job_postings].[skill_list.applications.status_updated_date].[All]" dimensionUniqueName="[job_postings]" displayFolder="" count="0" memberValueDatatype="7" unbalanced="0"/>
    <cacheHierarchy uniqueName="[job_postings].[skill_list.companies.company_id]" caption="skill_list.companies.company_id" attribute="1" defaultMemberUniqueName="[job_postings].[skill_list.companies.company_id].[All]" allUniqueName="[job_postings].[skill_list.companies.company_id].[All]" dimensionUniqueName="[job_postings]" displayFolder="" count="0" memberValueDatatype="20" unbalanced="0"/>
    <cacheHierarchy uniqueName="[job_postings].[skill_list.companies.company_name]" caption="skill_list.companies.company_name" attribute="1" defaultMemberUniqueName="[job_postings].[skill_list.companies.company_name].[All]" allUniqueName="[job_postings].[skill_list.companies.company_name].[All]" dimensionUniqueName="[job_postings]" displayFolder="" count="0" memberValueDatatype="130" unbalanced="0"/>
    <cacheHierarchy uniqueName="[job_postings].[skill_list.companies.industry]" caption="skill_list.companies.industry" attribute="1" defaultMemberUniqueName="[job_postings].[skill_list.companies.industry].[All]" allUniqueName="[job_postings].[skill_list.companies.industry].[All]" dimensionUniqueName="[job_postings]" displayFolder="" count="0" memberValueDatatype="130" unbalanced="0"/>
    <cacheHierarchy uniqueName="[job_postings].[skill_list.companies.company_size]" caption="skill_list.companies.company_size" attribute="1" defaultMemberUniqueName="[job_postings].[skill_list.companies.company_size].[All]" allUniqueName="[job_postings].[skill_list.companies.company_size].[All]" dimensionUniqueName="[job_postings]" displayFolder="" count="0" memberValueDatatype="130" unbalanced="0"/>
    <cacheHierarchy uniqueName="[job_postings].[skill_list.companies.headquarters_location]" caption="skill_list.companies.headquarters_location" attribute="1" defaultMemberUniqueName="[job_postings].[skill_list.companies.headquarters_location].[All]" allUniqueName="[job_postings].[skill_list.companies.headquarters_location].[All]" dimensionUniqueName="[job_postings]" displayFolder="" count="0" memberValueDatatype="130" unbalanced="0"/>
    <cacheHierarchy uniqueName="[job_postings].[skill_list.companies.website]" caption="skill_list.companies.website" attribute="1" defaultMemberUniqueName="[job_postings].[skill_list.companies.website].[All]" allUniqueName="[job_postings].[skill_list.companies.website].[All]" dimensionUniqueName="[job_postings]" displayFolder="" count="0" memberValueDatatype="130" unbalanced="0"/>
    <cacheHierarchy uniqueName="[job_postings].[skill_list.companies.created_date]" caption="skill_list.companies.created_date" attribute="1" time="1" defaultMemberUniqueName="[job_postings].[skill_list.companies.created_date].[All]" allUniqueName="[job_postings].[skill_list.companies.created_date].[All]" dimensionUniqueName="[job_postings]" displayFolder="" count="0" memberValueDatatype="7" unbalanced="0"/>
    <cacheHierarchy uniqueName="[job_postings].[skill_lists]" caption="skill_lists" attribute="1" defaultMemberUniqueName="[job_postings].[skill_lists].[All]" allUniqueName="[job_postings].[skill_lists].[All]" dimensionUniqueName="[job_postings]"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_lists.1]" caption="skill_lists.1" attribute="1" defaultMemberUniqueName="[job_skills].[skill_lists.1].[All]" allUniqueName="[job_skills].[skill_lists.1].[All]" dimensionUniqueName="[job_skills]" displayFolder="" count="0" memberValueDatatype="130" unbalanced="0"/>
    <cacheHierarchy uniqueName="[Measures].[__XL_Count job_postings]" caption="__XL_Count job_postings" measure="1" displayFolder="" measureGroup="job_postings"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y uniqueName="[Measures].[Sum of job_id]" caption="Sum of job_id" measure="1" displayFolder="" measureGroup="job_postings"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postings"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job_id]" caption="Average of job_id" measure="1" displayFolder="" measureGroup="job_postings" count="0" hidden="1">
      <extLst>
        <ext xmlns:x15="http://schemas.microsoft.com/office/spreadsheetml/2010/11/main" uri="{B97F6D7D-B522-45F9-BDA1-12C45D357490}">
          <x15:cacheHierarchy aggregatedColumn="0"/>
        </ext>
      </extLst>
    </cacheHierarchy>
    <cacheHierarchy uniqueName="[Measures].[Sum of job_id 2]" caption="Sum of job_id 2" measure="1" displayFolder="" measureGroup="job_skills" count="0" hidden="1">
      <extLst>
        <ext xmlns:x15="http://schemas.microsoft.com/office/spreadsheetml/2010/11/main" uri="{B97F6D7D-B522-45F9-BDA1-12C45D357490}">
          <x15:cacheHierarchy aggregatedColumn="30"/>
        </ext>
      </extLst>
    </cacheHierarchy>
    <cacheHierarchy uniqueName="[Measures].[Count of job_id 2]" caption="Count of job_id 2" measure="1" displayFolder="" measureGroup="job_skills" count="0" hidden="1">
      <extLst>
        <ext xmlns:x15="http://schemas.microsoft.com/office/spreadsheetml/2010/11/main" uri="{B97F6D7D-B522-45F9-BDA1-12C45D357490}">
          <x15:cacheHierarchy aggregatedColumn="30"/>
        </ext>
      </extLst>
    </cacheHierarchy>
    <cacheHierarchy uniqueName="[Measures].[Sum of skill_list.salary_max]" caption="Sum of skill_list.salary_max" measure="1" displayFolder="" measureGroup="job_postings" count="0" hidden="1">
      <extLst>
        <ext xmlns:x15="http://schemas.microsoft.com/office/spreadsheetml/2010/11/main" uri="{B97F6D7D-B522-45F9-BDA1-12C45D357490}">
          <x15:cacheHierarchy aggregatedColumn="6"/>
        </ext>
      </extLst>
    </cacheHierarchy>
    <cacheHierarchy uniqueName="[Measures].[Average of skill_list.salary_max]" caption="Average of skill_list.salary_max" measure="1" displayFolder="" measureGroup="job_postings" count="0" hidden="1">
      <extLst>
        <ext xmlns:x15="http://schemas.microsoft.com/office/spreadsheetml/2010/11/main" uri="{B97F6D7D-B522-45F9-BDA1-12C45D357490}">
          <x15:cacheHierarchy aggregatedColumn="6"/>
        </ext>
      </extLst>
    </cacheHierarchy>
    <cacheHierarchy uniqueName="[Measures].[Count of skill_list.job_location]" caption="Count of skill_list.job_location" measure="1" displayFolder="" measureGroup="job_postings" count="0" hidden="1">
      <extLst>
        <ext xmlns:x15="http://schemas.microsoft.com/office/spreadsheetml/2010/11/main" uri="{B97F6D7D-B522-45F9-BDA1-12C45D357490}">
          <x15:cacheHierarchy aggregatedColumn="8"/>
        </ext>
      </extLst>
    </cacheHierarchy>
  </cacheHierarchies>
  <kpis count="0"/>
  <dimensions count="3">
    <dimension name="job_postings" uniqueName="[job_postings]" caption="job_postings"/>
    <dimension name="job_skills" uniqueName="[job_skills]" caption="job_skills"/>
    <dimension measure="1" name="Measures" uniqueName="[Measures]" caption="Measures"/>
  </dimensions>
  <measureGroups count="2">
    <measureGroup name="job_postings" caption="job_postings"/>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01.532943518519" backgroundQuery="1" createdVersion="8" refreshedVersion="7" minRefreshableVersion="3" recordCount="0" supportSubquery="1" supportAdvancedDrill="1" xr:uid="{B8F8E8CC-4BA6-4ED0-9E96-F944BABD1604}">
  <cacheSource type="external" connectionId="6"/>
  <cacheFields count="3">
    <cacheField name="[job_skills].[skill_lists.1].[skill_lists.1]" caption="skill_lists.1" numFmtId="0" hierarchy="31" level="1">
      <sharedItems count="10">
        <s v=" Azure"/>
        <s v=" Docker"/>
        <s v=" Python"/>
        <s v=" Scikit-learn"/>
        <s v=" SQL"/>
        <s v=" Statistics"/>
        <s v="AWS"/>
        <s v="Docker"/>
        <s v="Excel"/>
        <s v="Machine Learning"/>
      </sharedItems>
    </cacheField>
    <cacheField name="[Measures].[Count of job_id 2]" caption="Count of job_id 2" numFmtId="0" hierarchy="39" level="32767"/>
    <cacheField name="[job_postings].[skill_list.applications.application_status].[skill_list.applications.application_status]" caption="skill_list.applications.application_status" numFmtId="0" hierarchy="20" level="1">
      <sharedItems containsSemiMixedTypes="0" containsNonDate="0" containsString="0"/>
    </cacheField>
  </cacheFields>
  <cacheHierarchies count="43">
    <cacheHierarchy uniqueName="[job_postings].[job_id]" caption="job_id" attribute="1" defaultMemberUniqueName="[job_postings].[job_id].[All]" allUniqueName="[job_postings].[job_id].[All]" dimensionUniqueName="[job_postings]" displayFolder="" count="0" memberValueDatatype="20" unbalanced="0"/>
    <cacheHierarchy uniqueName="[job_postings].[skill_list.job_id]" caption="skill_list.job_id" attribute="1" defaultMemberUniqueName="[job_postings].[skill_list.job_id].[All]" allUniqueName="[job_postings].[skill_list.job_id].[All]" dimensionUniqueName="[job_postings]" displayFolder="" count="0" memberValueDatatype="20" unbalanced="0"/>
    <cacheHierarchy uniqueName="[job_postings].[skill_list.company_id]" caption="skill_list.company_id" attribute="1" defaultMemberUniqueName="[job_postings].[skill_list.company_id].[All]" allUniqueName="[job_postings].[skill_list.company_id].[All]" dimensionUniqueName="[job_postings]" displayFolder="" count="0" memberValueDatatype="20" unbalanced="0"/>
    <cacheHierarchy uniqueName="[job_postings].[skill_list.job_title]" caption="skill_list.job_title" attribute="1" defaultMemberUniqueName="[job_postings].[skill_list.job_title].[All]" allUniqueName="[job_postings].[skill_list.job_title].[All]" dimensionUniqueName="[job_postings]" displayFolder="" count="0" memberValueDatatype="130" unbalanced="0"/>
    <cacheHierarchy uniqueName="[job_postings].[skill_list.job_description]" caption="skill_list.job_description" attribute="1" defaultMemberUniqueName="[job_postings].[skill_list.job_description].[All]" allUniqueName="[job_postings].[skill_list.job_description].[All]" dimensionUniqueName="[job_postings]" displayFolder="" count="0" memberValueDatatype="130" unbalanced="0"/>
    <cacheHierarchy uniqueName="[job_postings].[skill_list.salary_min]" caption="skill_list.salary_min" attribute="1" defaultMemberUniqueName="[job_postings].[skill_list.salary_min].[All]" allUniqueName="[job_postings].[skill_list.salary_min].[All]" dimensionUniqueName="[job_postings]" displayFolder="" count="0" memberValueDatatype="20" unbalanced="0"/>
    <cacheHierarchy uniqueName="[job_postings].[skill_list.salary_max]" caption="skill_list.salary_max" attribute="1" defaultMemberUniqueName="[job_postings].[skill_list.salary_max].[All]" allUniqueName="[job_postings].[skill_list.salary_max].[All]" dimensionUniqueName="[job_postings]" displayFolder="" count="0" memberValueDatatype="20" unbalanced="0"/>
    <cacheHierarchy uniqueName="[job_postings].[skill_list.salary_currency]" caption="skill_list.salary_currency" attribute="1" defaultMemberUniqueName="[job_postings].[skill_list.salary_currency].[All]" allUniqueName="[job_postings].[skill_list.salary_currency].[All]" dimensionUniqueName="[job_postings]" displayFolder="" count="0" memberValueDatatype="130" unbalanced="0"/>
    <cacheHierarchy uniqueName="[job_postings].[skill_list.job_location]" caption="skill_list.job_location" attribute="1" defaultMemberUniqueName="[job_postings].[skill_list.job_location].[All]" allUniqueName="[job_postings].[skill_list.job_location].[All]" dimensionUniqueName="[job_postings]" displayFolder="" count="0" memberValueDatatype="130" unbalanced="0"/>
    <cacheHierarchy uniqueName="[job_postings].[skill_list.job_type]" caption="skill_list.job_type" attribute="1" defaultMemberUniqueName="[job_postings].[skill_list.job_type].[All]" allUniqueName="[job_postings].[skill_list.job_type].[All]" dimensionUniqueName="[job_postings]" displayFolder="" count="2" memberValueDatatype="130" unbalanced="0"/>
    <cacheHierarchy uniqueName="[job_postings].[skill_list.experience_level]" caption="skill_list.experience_level" attribute="1" defaultMemberUniqueName="[job_postings].[skill_list.experience_level].[All]" allUniqueName="[job_postings].[skill_list.experience_level].[All]" dimensionUniqueName="[job_postings]" displayFolder="" count="0" memberValueDatatype="130" unbalanced="0"/>
    <cacheHierarchy uniqueName="[job_postings].[skill_list.application_deadline]" caption="skill_list.application_deadline" attribute="1" time="1" defaultMemberUniqueName="[job_postings].[skill_list.application_deadline].[All]" allUniqueName="[job_postings].[skill_list.application_deadline].[All]" dimensionUniqueName="[job_postings]" displayFolder="" count="0" memberValueDatatype="7" unbalanced="0"/>
    <cacheHierarchy uniqueName="[job_postings].[skill_list.posting_date]" caption="skill_list.posting_date" attribute="1" time="1" defaultMemberUniqueName="[job_postings].[skill_list.posting_date].[All]" allUniqueName="[job_postings].[skill_list.posting_date].[All]" dimensionUniqueName="[job_postings]" displayFolder="" count="0" memberValueDatatype="7" unbalanced="0"/>
    <cacheHierarchy uniqueName="[job_postings].[skill_list.is_active]" caption="skill_list.is_active" attribute="1" defaultMemberUniqueName="[job_postings].[skill_list.is_active].[All]" allUniqueName="[job_postings].[skill_list.is_active].[All]" dimensionUniqueName="[job_postings]" displayFolder="" count="0" memberValueDatatype="130" unbalanced="0"/>
    <cacheHierarchy uniqueName="[job_postings].[skill_list.applications.application_id]" caption="skill_list.applications.application_id" attribute="1" defaultMemberUniqueName="[job_postings].[skill_list.applications.application_id].[All]" allUniqueName="[job_postings].[skill_list.applications.application_id].[All]" dimensionUniqueName="[job_postings]" displayFolder="" count="0" memberValueDatatype="20" unbalanced="0"/>
    <cacheHierarchy uniqueName="[job_postings].[skill_list.applications.applicant_name]" caption="skill_list.applications.applicant_name" attribute="1" defaultMemberUniqueName="[job_postings].[skill_list.applications.applicant_name].[All]" allUniqueName="[job_postings].[skill_list.applications.applicant_name].[All]" dimensionUniqueName="[job_postings]" displayFolder="" count="0" memberValueDatatype="130" unbalanced="0"/>
    <cacheHierarchy uniqueName="[job_postings].[skill_list.applications.applicant_email]" caption="skill_list.applications.applicant_email" attribute="1" defaultMemberUniqueName="[job_postings].[skill_list.applications.applicant_email].[All]" allUniqueName="[job_postings].[skill_list.applications.applicant_email].[All]" dimensionUniqueName="[job_postings]" displayFolder="" count="0" memberValueDatatype="130" unbalanced="0"/>
    <cacheHierarchy uniqueName="[job_postings].[skill_list.applications.application_date]" caption="skill_list.applications.application_date" attribute="1" time="1" defaultMemberUniqueName="[job_postings].[skill_list.applications.application_date].[All]" allUniqueName="[job_postings].[skill_list.applications.application_date].[All]" dimensionUniqueName="[job_postings]" displayFolder="" count="0" memberValueDatatype="7" unbalanced="0"/>
    <cacheHierarchy uniqueName="[job_postings].[skill_list.applications.resume_file_path]" caption="skill_list.applications.resume_file_path" attribute="1" defaultMemberUniqueName="[job_postings].[skill_list.applications.resume_file_path].[All]" allUniqueName="[job_postings].[skill_list.applications.resume_file_path].[All]" dimensionUniqueName="[job_postings]" displayFolder="" count="0" memberValueDatatype="130" unbalanced="0"/>
    <cacheHierarchy uniqueName="[job_postings].[skill_list.applications.cover_letter_text]" caption="skill_list.applications.cover_letter_text" attribute="1" defaultMemberUniqueName="[job_postings].[skill_list.applications.cover_letter_text].[All]" allUniqueName="[job_postings].[skill_list.applications.cover_letter_text].[All]" dimensionUniqueName="[job_postings]" displayFolder="" count="0" memberValueDatatype="130" unbalanced="0"/>
    <cacheHierarchy uniqueName="[job_postings].[skill_list.applications.application_status]" caption="skill_list.applications.application_status" attribute="1" defaultMemberUniqueName="[job_postings].[skill_list.applications.application_status].[All]" allUniqueName="[job_postings].[skill_list.applications.application_status].[All]" dimensionUniqueName="[job_postings]" displayFolder="" count="2" memberValueDatatype="130" unbalanced="0">
      <fieldsUsage count="2">
        <fieldUsage x="-1"/>
        <fieldUsage x="2"/>
      </fieldsUsage>
    </cacheHierarchy>
    <cacheHierarchy uniqueName="[job_postings].[skill_list.applications.status_updated_date]" caption="skill_list.applications.status_updated_date" attribute="1" time="1" defaultMemberUniqueName="[job_postings].[skill_list.applications.status_updated_date].[All]" allUniqueName="[job_postings].[skill_list.applications.status_updated_date].[All]" dimensionUniqueName="[job_postings]" displayFolder="" count="0" memberValueDatatype="7" unbalanced="0"/>
    <cacheHierarchy uniqueName="[job_postings].[skill_list.companies.company_id]" caption="skill_list.companies.company_id" attribute="1" defaultMemberUniqueName="[job_postings].[skill_list.companies.company_id].[All]" allUniqueName="[job_postings].[skill_list.companies.company_id].[All]" dimensionUniqueName="[job_postings]" displayFolder="" count="0" memberValueDatatype="20" unbalanced="0"/>
    <cacheHierarchy uniqueName="[job_postings].[skill_list.companies.company_name]" caption="skill_list.companies.company_name" attribute="1" defaultMemberUniqueName="[job_postings].[skill_list.companies.company_name].[All]" allUniqueName="[job_postings].[skill_list.companies.company_name].[All]" dimensionUniqueName="[job_postings]" displayFolder="" count="0" memberValueDatatype="130" unbalanced="0"/>
    <cacheHierarchy uniqueName="[job_postings].[skill_list.companies.industry]" caption="skill_list.companies.industry" attribute="1" defaultMemberUniqueName="[job_postings].[skill_list.companies.industry].[All]" allUniqueName="[job_postings].[skill_list.companies.industry].[All]" dimensionUniqueName="[job_postings]" displayFolder="" count="0" memberValueDatatype="130" unbalanced="0"/>
    <cacheHierarchy uniqueName="[job_postings].[skill_list.companies.company_size]" caption="skill_list.companies.company_size" attribute="1" defaultMemberUniqueName="[job_postings].[skill_list.companies.company_size].[All]" allUniqueName="[job_postings].[skill_list.companies.company_size].[All]" dimensionUniqueName="[job_postings]" displayFolder="" count="0" memberValueDatatype="130" unbalanced="0"/>
    <cacheHierarchy uniqueName="[job_postings].[skill_list.companies.headquarters_location]" caption="skill_list.companies.headquarters_location" attribute="1" defaultMemberUniqueName="[job_postings].[skill_list.companies.headquarters_location].[All]" allUniqueName="[job_postings].[skill_list.companies.headquarters_location].[All]" dimensionUniqueName="[job_postings]" displayFolder="" count="0" memberValueDatatype="130" unbalanced="0"/>
    <cacheHierarchy uniqueName="[job_postings].[skill_list.companies.website]" caption="skill_list.companies.website" attribute="1" defaultMemberUniqueName="[job_postings].[skill_list.companies.website].[All]" allUniqueName="[job_postings].[skill_list.companies.website].[All]" dimensionUniqueName="[job_postings]" displayFolder="" count="0" memberValueDatatype="130" unbalanced="0"/>
    <cacheHierarchy uniqueName="[job_postings].[skill_list.companies.created_date]" caption="skill_list.companies.created_date" attribute="1" time="1" defaultMemberUniqueName="[job_postings].[skill_list.companies.created_date].[All]" allUniqueName="[job_postings].[skill_list.companies.created_date].[All]" dimensionUniqueName="[job_postings]" displayFolder="" count="0" memberValueDatatype="7" unbalanced="0"/>
    <cacheHierarchy uniqueName="[job_postings].[skill_lists]" caption="skill_lists" attribute="1" defaultMemberUniqueName="[job_postings].[skill_lists].[All]" allUniqueName="[job_postings].[skill_lists].[All]" dimensionUniqueName="[job_postings]"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_lists.1]" caption="skill_lists.1" attribute="1" defaultMemberUniqueName="[job_skills].[skill_lists.1].[All]" allUniqueName="[job_skills].[skill_lists.1].[All]" dimensionUniqueName="[job_skills]" displayFolder="" count="2" memberValueDatatype="130" unbalanced="0">
      <fieldsUsage count="2">
        <fieldUsage x="-1"/>
        <fieldUsage x="0"/>
      </fieldsUsage>
    </cacheHierarchy>
    <cacheHierarchy uniqueName="[Measures].[__XL_Count job_postings]" caption="__XL_Count job_postings" measure="1" displayFolder="" measureGroup="job_postings"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y uniqueName="[Measures].[Sum of job_id]" caption="Sum of job_id" measure="1" displayFolder="" measureGroup="job_postings"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postings" count="0" hidden="1">
      <extLst>
        <ext xmlns:x15="http://schemas.microsoft.com/office/spreadsheetml/2010/11/main" uri="{B97F6D7D-B522-45F9-BDA1-12C45D357490}">
          <x15:cacheHierarchy aggregatedColumn="0"/>
        </ext>
      </extLst>
    </cacheHierarchy>
    <cacheHierarchy uniqueName="[Measures].[Average of job_id]" caption="Average of job_id" measure="1" displayFolder="" measureGroup="job_postings" count="0" hidden="1">
      <extLst>
        <ext xmlns:x15="http://schemas.microsoft.com/office/spreadsheetml/2010/11/main" uri="{B97F6D7D-B522-45F9-BDA1-12C45D357490}">
          <x15:cacheHierarchy aggregatedColumn="0"/>
        </ext>
      </extLst>
    </cacheHierarchy>
    <cacheHierarchy uniqueName="[Measures].[Sum of job_id 2]" caption="Sum of job_id 2" measure="1" displayFolder="" measureGroup="job_skills" count="0" hidden="1">
      <extLst>
        <ext xmlns:x15="http://schemas.microsoft.com/office/spreadsheetml/2010/11/main" uri="{B97F6D7D-B522-45F9-BDA1-12C45D357490}">
          <x15:cacheHierarchy aggregatedColumn="30"/>
        </ext>
      </extLst>
    </cacheHierarchy>
    <cacheHierarchy uniqueName="[Measures].[Count of job_id 2]" caption="Count of job_id 2" measure="1" displayFolder="" measureGroup="job_skill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skill_list.salary_max]" caption="Sum of skill_list.salary_max" measure="1" displayFolder="" measureGroup="job_postings" count="0" hidden="1">
      <extLst>
        <ext xmlns:x15="http://schemas.microsoft.com/office/spreadsheetml/2010/11/main" uri="{B97F6D7D-B522-45F9-BDA1-12C45D357490}">
          <x15:cacheHierarchy aggregatedColumn="6"/>
        </ext>
      </extLst>
    </cacheHierarchy>
    <cacheHierarchy uniqueName="[Measures].[Average of skill_list.salary_max]" caption="Average of skill_list.salary_max" measure="1" displayFolder="" measureGroup="job_postings" count="0" hidden="1">
      <extLst>
        <ext xmlns:x15="http://schemas.microsoft.com/office/spreadsheetml/2010/11/main" uri="{B97F6D7D-B522-45F9-BDA1-12C45D357490}">
          <x15:cacheHierarchy aggregatedColumn="6"/>
        </ext>
      </extLst>
    </cacheHierarchy>
    <cacheHierarchy uniqueName="[Measures].[Count of skill_list.job_location]" caption="Count of skill_list.job_location" measure="1" displayFolder="" measureGroup="job_postings" count="0" hidden="1">
      <extLst>
        <ext xmlns:x15="http://schemas.microsoft.com/office/spreadsheetml/2010/11/main" uri="{B97F6D7D-B522-45F9-BDA1-12C45D357490}">
          <x15:cacheHierarchy aggregatedColumn="8"/>
        </ext>
      </extLst>
    </cacheHierarchy>
  </cacheHierarchies>
  <kpis count="0"/>
  <dimensions count="3">
    <dimension name="job_postings" uniqueName="[job_postings]" caption="job_postings"/>
    <dimension name="job_skills" uniqueName="[job_skills]" caption="job_skills"/>
    <dimension measure="1" name="Measures" uniqueName="[Measures]" caption="Measures"/>
  </dimensions>
  <measureGroups count="2">
    <measureGroup name="job_postings" caption="job_postings"/>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01.532943981481" backgroundQuery="1" createdVersion="8" refreshedVersion="7" minRefreshableVersion="3" recordCount="0" supportSubquery="1" supportAdvancedDrill="1" xr:uid="{6F0DC917-68F1-4672-94CD-5279565D6B74}">
  <cacheSource type="external" connectionId="6"/>
  <cacheFields count="3">
    <cacheField name="[job_postings].[skill_list.job_location].[skill_list.job_location]" caption="skill_list.job_location" numFmtId="0" hierarchy="8" level="1">
      <sharedItems count="15">
        <s v="Ayeyarwady Region"/>
        <s v="Bago Region"/>
        <s v="Chin State"/>
        <s v="Kachin State"/>
        <s v="Kayah State"/>
        <s v="Kayin State"/>
        <s v="Magway Region"/>
        <s v="Mandalay Region"/>
        <s v="Mon State"/>
        <s v="Naypyidaw Union Territory"/>
        <s v="Rakhine State"/>
        <s v="Sagaing Region"/>
        <s v="Shan State"/>
        <s v="Tanintharyi Region"/>
        <s v="Yangon Region"/>
      </sharedItems>
    </cacheField>
    <cacheField name="[Measures].[Count of skill_list.job_location]" caption="Count of skill_list.job_location" numFmtId="0" hierarchy="42" level="32767"/>
    <cacheField name="[job_postings].[skill_list.applications.application_status].[skill_list.applications.application_status]" caption="skill_list.applications.application_status" numFmtId="0" hierarchy="20" level="1">
      <sharedItems containsSemiMixedTypes="0" containsNonDate="0" containsString="0"/>
    </cacheField>
  </cacheFields>
  <cacheHierarchies count="43">
    <cacheHierarchy uniqueName="[job_postings].[job_id]" caption="job_id" attribute="1" defaultMemberUniqueName="[job_postings].[job_id].[All]" allUniqueName="[job_postings].[job_id].[All]" dimensionUniqueName="[job_postings]" displayFolder="" count="0" memberValueDatatype="20" unbalanced="0"/>
    <cacheHierarchy uniqueName="[job_postings].[skill_list.job_id]" caption="skill_list.job_id" attribute="1" defaultMemberUniqueName="[job_postings].[skill_list.job_id].[All]" allUniqueName="[job_postings].[skill_list.job_id].[All]" dimensionUniqueName="[job_postings]" displayFolder="" count="0" memberValueDatatype="20" unbalanced="0"/>
    <cacheHierarchy uniqueName="[job_postings].[skill_list.company_id]" caption="skill_list.company_id" attribute="1" defaultMemberUniqueName="[job_postings].[skill_list.company_id].[All]" allUniqueName="[job_postings].[skill_list.company_id].[All]" dimensionUniqueName="[job_postings]" displayFolder="" count="0" memberValueDatatype="20" unbalanced="0"/>
    <cacheHierarchy uniqueName="[job_postings].[skill_list.job_title]" caption="skill_list.job_title" attribute="1" defaultMemberUniqueName="[job_postings].[skill_list.job_title].[All]" allUniqueName="[job_postings].[skill_list.job_title].[All]" dimensionUniqueName="[job_postings]" displayFolder="" count="0" memberValueDatatype="130" unbalanced="0"/>
    <cacheHierarchy uniqueName="[job_postings].[skill_list.job_description]" caption="skill_list.job_description" attribute="1" defaultMemberUniqueName="[job_postings].[skill_list.job_description].[All]" allUniqueName="[job_postings].[skill_list.job_description].[All]" dimensionUniqueName="[job_postings]" displayFolder="" count="0" memberValueDatatype="130" unbalanced="0"/>
    <cacheHierarchy uniqueName="[job_postings].[skill_list.salary_min]" caption="skill_list.salary_min" attribute="1" defaultMemberUniqueName="[job_postings].[skill_list.salary_min].[All]" allUniqueName="[job_postings].[skill_list.salary_min].[All]" dimensionUniqueName="[job_postings]" displayFolder="" count="0" memberValueDatatype="20" unbalanced="0"/>
    <cacheHierarchy uniqueName="[job_postings].[skill_list.salary_max]" caption="skill_list.salary_max" attribute="1" defaultMemberUniqueName="[job_postings].[skill_list.salary_max].[All]" allUniqueName="[job_postings].[skill_list.salary_max].[All]" dimensionUniqueName="[job_postings]" displayFolder="" count="0" memberValueDatatype="20" unbalanced="0"/>
    <cacheHierarchy uniqueName="[job_postings].[skill_list.salary_currency]" caption="skill_list.salary_currency" attribute="1" defaultMemberUniqueName="[job_postings].[skill_list.salary_currency].[All]" allUniqueName="[job_postings].[skill_list.salary_currency].[All]" dimensionUniqueName="[job_postings]" displayFolder="" count="0" memberValueDatatype="130" unbalanced="0"/>
    <cacheHierarchy uniqueName="[job_postings].[skill_list.job_location]" caption="skill_list.job_location" attribute="1" defaultMemberUniqueName="[job_postings].[skill_list.job_location].[All]" allUniqueName="[job_postings].[skill_list.job_location].[All]" dimensionUniqueName="[job_postings]" displayFolder="" count="2" memberValueDatatype="130" unbalanced="0">
      <fieldsUsage count="2">
        <fieldUsage x="-1"/>
        <fieldUsage x="0"/>
      </fieldsUsage>
    </cacheHierarchy>
    <cacheHierarchy uniqueName="[job_postings].[skill_list.job_type]" caption="skill_list.job_type" attribute="1" defaultMemberUniqueName="[job_postings].[skill_list.job_type].[All]" allUniqueName="[job_postings].[skill_list.job_type].[All]" dimensionUniqueName="[job_postings]" displayFolder="" count="2" memberValueDatatype="130" unbalanced="0"/>
    <cacheHierarchy uniqueName="[job_postings].[skill_list.experience_level]" caption="skill_list.experience_level" attribute="1" defaultMemberUniqueName="[job_postings].[skill_list.experience_level].[All]" allUniqueName="[job_postings].[skill_list.experience_level].[All]" dimensionUniqueName="[job_postings]" displayFolder="" count="0" memberValueDatatype="130" unbalanced="0"/>
    <cacheHierarchy uniqueName="[job_postings].[skill_list.application_deadline]" caption="skill_list.application_deadline" attribute="1" time="1" defaultMemberUniqueName="[job_postings].[skill_list.application_deadline].[All]" allUniqueName="[job_postings].[skill_list.application_deadline].[All]" dimensionUniqueName="[job_postings]" displayFolder="" count="0" memberValueDatatype="7" unbalanced="0"/>
    <cacheHierarchy uniqueName="[job_postings].[skill_list.posting_date]" caption="skill_list.posting_date" attribute="1" time="1" defaultMemberUniqueName="[job_postings].[skill_list.posting_date].[All]" allUniqueName="[job_postings].[skill_list.posting_date].[All]" dimensionUniqueName="[job_postings]" displayFolder="" count="0" memberValueDatatype="7" unbalanced="0"/>
    <cacheHierarchy uniqueName="[job_postings].[skill_list.is_active]" caption="skill_list.is_active" attribute="1" defaultMemberUniqueName="[job_postings].[skill_list.is_active].[All]" allUniqueName="[job_postings].[skill_list.is_active].[All]" dimensionUniqueName="[job_postings]" displayFolder="" count="0" memberValueDatatype="130" unbalanced="0"/>
    <cacheHierarchy uniqueName="[job_postings].[skill_list.applications.application_id]" caption="skill_list.applications.application_id" attribute="1" defaultMemberUniqueName="[job_postings].[skill_list.applications.application_id].[All]" allUniqueName="[job_postings].[skill_list.applications.application_id].[All]" dimensionUniqueName="[job_postings]" displayFolder="" count="0" memberValueDatatype="20" unbalanced="0"/>
    <cacheHierarchy uniqueName="[job_postings].[skill_list.applications.applicant_name]" caption="skill_list.applications.applicant_name" attribute="1" defaultMemberUniqueName="[job_postings].[skill_list.applications.applicant_name].[All]" allUniqueName="[job_postings].[skill_list.applications.applicant_name].[All]" dimensionUniqueName="[job_postings]" displayFolder="" count="0" memberValueDatatype="130" unbalanced="0"/>
    <cacheHierarchy uniqueName="[job_postings].[skill_list.applications.applicant_email]" caption="skill_list.applications.applicant_email" attribute="1" defaultMemberUniqueName="[job_postings].[skill_list.applications.applicant_email].[All]" allUniqueName="[job_postings].[skill_list.applications.applicant_email].[All]" dimensionUniqueName="[job_postings]" displayFolder="" count="0" memberValueDatatype="130" unbalanced="0"/>
    <cacheHierarchy uniqueName="[job_postings].[skill_list.applications.application_date]" caption="skill_list.applications.application_date" attribute="1" time="1" defaultMemberUniqueName="[job_postings].[skill_list.applications.application_date].[All]" allUniqueName="[job_postings].[skill_list.applications.application_date].[All]" dimensionUniqueName="[job_postings]" displayFolder="" count="0" memberValueDatatype="7" unbalanced="0"/>
    <cacheHierarchy uniqueName="[job_postings].[skill_list.applications.resume_file_path]" caption="skill_list.applications.resume_file_path" attribute="1" defaultMemberUniqueName="[job_postings].[skill_list.applications.resume_file_path].[All]" allUniqueName="[job_postings].[skill_list.applications.resume_file_path].[All]" dimensionUniqueName="[job_postings]" displayFolder="" count="0" memberValueDatatype="130" unbalanced="0"/>
    <cacheHierarchy uniqueName="[job_postings].[skill_list.applications.cover_letter_text]" caption="skill_list.applications.cover_letter_text" attribute="1" defaultMemberUniqueName="[job_postings].[skill_list.applications.cover_letter_text].[All]" allUniqueName="[job_postings].[skill_list.applications.cover_letter_text].[All]" dimensionUniqueName="[job_postings]" displayFolder="" count="0" memberValueDatatype="130" unbalanced="0"/>
    <cacheHierarchy uniqueName="[job_postings].[skill_list.applications.application_status]" caption="skill_list.applications.application_status" attribute="1" defaultMemberUniqueName="[job_postings].[skill_list.applications.application_status].[All]" allUniqueName="[job_postings].[skill_list.applications.application_status].[All]" dimensionUniqueName="[job_postings]" displayFolder="" count="2" memberValueDatatype="130" unbalanced="0">
      <fieldsUsage count="2">
        <fieldUsage x="-1"/>
        <fieldUsage x="2"/>
      </fieldsUsage>
    </cacheHierarchy>
    <cacheHierarchy uniqueName="[job_postings].[skill_list.applications.status_updated_date]" caption="skill_list.applications.status_updated_date" attribute="1" time="1" defaultMemberUniqueName="[job_postings].[skill_list.applications.status_updated_date].[All]" allUniqueName="[job_postings].[skill_list.applications.status_updated_date].[All]" dimensionUniqueName="[job_postings]" displayFolder="" count="0" memberValueDatatype="7" unbalanced="0"/>
    <cacheHierarchy uniqueName="[job_postings].[skill_list.companies.company_id]" caption="skill_list.companies.company_id" attribute="1" defaultMemberUniqueName="[job_postings].[skill_list.companies.company_id].[All]" allUniqueName="[job_postings].[skill_list.companies.company_id].[All]" dimensionUniqueName="[job_postings]" displayFolder="" count="0" memberValueDatatype="20" unbalanced="0"/>
    <cacheHierarchy uniqueName="[job_postings].[skill_list.companies.company_name]" caption="skill_list.companies.company_name" attribute="1" defaultMemberUniqueName="[job_postings].[skill_list.companies.company_name].[All]" allUniqueName="[job_postings].[skill_list.companies.company_name].[All]" dimensionUniqueName="[job_postings]" displayFolder="" count="0" memberValueDatatype="130" unbalanced="0"/>
    <cacheHierarchy uniqueName="[job_postings].[skill_list.companies.industry]" caption="skill_list.companies.industry" attribute="1" defaultMemberUniqueName="[job_postings].[skill_list.companies.industry].[All]" allUniqueName="[job_postings].[skill_list.companies.industry].[All]" dimensionUniqueName="[job_postings]" displayFolder="" count="0" memberValueDatatype="130" unbalanced="0"/>
    <cacheHierarchy uniqueName="[job_postings].[skill_list.companies.company_size]" caption="skill_list.companies.company_size" attribute="1" defaultMemberUniqueName="[job_postings].[skill_list.companies.company_size].[All]" allUniqueName="[job_postings].[skill_list.companies.company_size].[All]" dimensionUniqueName="[job_postings]" displayFolder="" count="0" memberValueDatatype="130" unbalanced="0"/>
    <cacheHierarchy uniqueName="[job_postings].[skill_list.companies.headquarters_location]" caption="skill_list.companies.headquarters_location" attribute="1" defaultMemberUniqueName="[job_postings].[skill_list.companies.headquarters_location].[All]" allUniqueName="[job_postings].[skill_list.companies.headquarters_location].[All]" dimensionUniqueName="[job_postings]" displayFolder="" count="0" memberValueDatatype="130" unbalanced="0"/>
    <cacheHierarchy uniqueName="[job_postings].[skill_list.companies.website]" caption="skill_list.companies.website" attribute="1" defaultMemberUniqueName="[job_postings].[skill_list.companies.website].[All]" allUniqueName="[job_postings].[skill_list.companies.website].[All]" dimensionUniqueName="[job_postings]" displayFolder="" count="0" memberValueDatatype="130" unbalanced="0"/>
    <cacheHierarchy uniqueName="[job_postings].[skill_list.companies.created_date]" caption="skill_list.companies.created_date" attribute="1" time="1" defaultMemberUniqueName="[job_postings].[skill_list.companies.created_date].[All]" allUniqueName="[job_postings].[skill_list.companies.created_date].[All]" dimensionUniqueName="[job_postings]" displayFolder="" count="0" memberValueDatatype="7" unbalanced="0"/>
    <cacheHierarchy uniqueName="[job_postings].[skill_lists]" caption="skill_lists" attribute="1" defaultMemberUniqueName="[job_postings].[skill_lists].[All]" allUniqueName="[job_postings].[skill_lists].[All]" dimensionUniqueName="[job_postings]"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_lists.1]" caption="skill_lists.1" attribute="1" defaultMemberUniqueName="[job_skills].[skill_lists.1].[All]" allUniqueName="[job_skills].[skill_lists.1].[All]" dimensionUniqueName="[job_skills]" displayFolder="" count="0" memberValueDatatype="130" unbalanced="0"/>
    <cacheHierarchy uniqueName="[Measures].[__XL_Count job_postings]" caption="__XL_Count job_postings" measure="1" displayFolder="" measureGroup="job_postings"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y uniqueName="[Measures].[Sum of job_id]" caption="Sum of job_id" measure="1" displayFolder="" measureGroup="job_postings"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postings" count="0" hidden="1">
      <extLst>
        <ext xmlns:x15="http://schemas.microsoft.com/office/spreadsheetml/2010/11/main" uri="{B97F6D7D-B522-45F9-BDA1-12C45D357490}">
          <x15:cacheHierarchy aggregatedColumn="0"/>
        </ext>
      </extLst>
    </cacheHierarchy>
    <cacheHierarchy uniqueName="[Measures].[Average of job_id]" caption="Average of job_id" measure="1" displayFolder="" measureGroup="job_postings" count="0" hidden="1">
      <extLst>
        <ext xmlns:x15="http://schemas.microsoft.com/office/spreadsheetml/2010/11/main" uri="{B97F6D7D-B522-45F9-BDA1-12C45D357490}">
          <x15:cacheHierarchy aggregatedColumn="0"/>
        </ext>
      </extLst>
    </cacheHierarchy>
    <cacheHierarchy uniqueName="[Measures].[Sum of job_id 2]" caption="Sum of job_id 2" measure="1" displayFolder="" measureGroup="job_skills" count="0" hidden="1">
      <extLst>
        <ext xmlns:x15="http://schemas.microsoft.com/office/spreadsheetml/2010/11/main" uri="{B97F6D7D-B522-45F9-BDA1-12C45D357490}">
          <x15:cacheHierarchy aggregatedColumn="30"/>
        </ext>
      </extLst>
    </cacheHierarchy>
    <cacheHierarchy uniqueName="[Measures].[Count of job_id 2]" caption="Count of job_id 2" measure="1" displayFolder="" measureGroup="job_skills" count="0" hidden="1">
      <extLst>
        <ext xmlns:x15="http://schemas.microsoft.com/office/spreadsheetml/2010/11/main" uri="{B97F6D7D-B522-45F9-BDA1-12C45D357490}">
          <x15:cacheHierarchy aggregatedColumn="30"/>
        </ext>
      </extLst>
    </cacheHierarchy>
    <cacheHierarchy uniqueName="[Measures].[Sum of skill_list.salary_max]" caption="Sum of skill_list.salary_max" measure="1" displayFolder="" measureGroup="job_postings" count="0" hidden="1">
      <extLst>
        <ext xmlns:x15="http://schemas.microsoft.com/office/spreadsheetml/2010/11/main" uri="{B97F6D7D-B522-45F9-BDA1-12C45D357490}">
          <x15:cacheHierarchy aggregatedColumn="6"/>
        </ext>
      </extLst>
    </cacheHierarchy>
    <cacheHierarchy uniqueName="[Measures].[Average of skill_list.salary_max]" caption="Average of skill_list.salary_max" measure="1" displayFolder="" measureGroup="job_postings" count="0" hidden="1">
      <extLst>
        <ext xmlns:x15="http://schemas.microsoft.com/office/spreadsheetml/2010/11/main" uri="{B97F6D7D-B522-45F9-BDA1-12C45D357490}">
          <x15:cacheHierarchy aggregatedColumn="6"/>
        </ext>
      </extLst>
    </cacheHierarchy>
    <cacheHierarchy uniqueName="[Measures].[Count of skill_list.job_location]" caption="Count of skill_list.job_location" measure="1" displayFolder="" measureGroup="job_postings"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3">
    <dimension name="job_postings" uniqueName="[job_postings]" caption="job_postings"/>
    <dimension name="job_skills" uniqueName="[job_skills]" caption="job_skills"/>
    <dimension measure="1" name="Measures" uniqueName="[Measures]" caption="Measures"/>
  </dimensions>
  <measureGroups count="2">
    <measureGroup name="job_postings" caption="job_postings"/>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001.532943981481" backgroundQuery="1" createdVersion="7" refreshedVersion="7" minRefreshableVersion="3" recordCount="0" supportSubquery="1" supportAdvancedDrill="1" xr:uid="{59E4DD18-7E1E-4279-90DB-D3D977599C61}">
  <cacheSource type="external" connectionId="6"/>
  <cacheFields count="2">
    <cacheField name="[Measures].[Count of job_id]" caption="Count of job_id" numFmtId="0" hierarchy="36" level="32767"/>
    <cacheField name="[job_postings].[skill_list.applications.application_status].[skill_list.applications.application_status]" caption="skill_list.applications.application_status" numFmtId="0" hierarchy="20" level="1">
      <sharedItems containsSemiMixedTypes="0" containsNonDate="0" containsString="0"/>
    </cacheField>
  </cacheFields>
  <cacheHierarchies count="43">
    <cacheHierarchy uniqueName="[job_postings].[job_id]" caption="job_id" attribute="1" defaultMemberUniqueName="[job_postings].[job_id].[All]" allUniqueName="[job_postings].[job_id].[All]" dimensionUniqueName="[job_postings]" displayFolder="" count="0" memberValueDatatype="20" unbalanced="0"/>
    <cacheHierarchy uniqueName="[job_postings].[skill_list.job_id]" caption="skill_list.job_id" attribute="1" defaultMemberUniqueName="[job_postings].[skill_list.job_id].[All]" allUniqueName="[job_postings].[skill_list.job_id].[All]" dimensionUniqueName="[job_postings]" displayFolder="" count="0" memberValueDatatype="20" unbalanced="0"/>
    <cacheHierarchy uniqueName="[job_postings].[skill_list.company_id]" caption="skill_list.company_id" attribute="1" defaultMemberUniqueName="[job_postings].[skill_list.company_id].[All]" allUniqueName="[job_postings].[skill_list.company_id].[All]" dimensionUniqueName="[job_postings]" displayFolder="" count="0" memberValueDatatype="20" unbalanced="0"/>
    <cacheHierarchy uniqueName="[job_postings].[skill_list.job_title]" caption="skill_list.job_title" attribute="1" defaultMemberUniqueName="[job_postings].[skill_list.job_title].[All]" allUniqueName="[job_postings].[skill_list.job_title].[All]" dimensionUniqueName="[job_postings]" displayFolder="" count="0" memberValueDatatype="130" unbalanced="0"/>
    <cacheHierarchy uniqueName="[job_postings].[skill_list.job_description]" caption="skill_list.job_description" attribute="1" defaultMemberUniqueName="[job_postings].[skill_list.job_description].[All]" allUniqueName="[job_postings].[skill_list.job_description].[All]" dimensionUniqueName="[job_postings]" displayFolder="" count="0" memberValueDatatype="130" unbalanced="0"/>
    <cacheHierarchy uniqueName="[job_postings].[skill_list.salary_min]" caption="skill_list.salary_min" attribute="1" defaultMemberUniqueName="[job_postings].[skill_list.salary_min].[All]" allUniqueName="[job_postings].[skill_list.salary_min].[All]" dimensionUniqueName="[job_postings]" displayFolder="" count="0" memberValueDatatype="20" unbalanced="0"/>
    <cacheHierarchy uniqueName="[job_postings].[skill_list.salary_max]" caption="skill_list.salary_max" attribute="1" defaultMemberUniqueName="[job_postings].[skill_list.salary_max].[All]" allUniqueName="[job_postings].[skill_list.salary_max].[All]" dimensionUniqueName="[job_postings]" displayFolder="" count="0" memberValueDatatype="20" unbalanced="0"/>
    <cacheHierarchy uniqueName="[job_postings].[skill_list.salary_currency]" caption="skill_list.salary_currency" attribute="1" defaultMemberUniqueName="[job_postings].[skill_list.salary_currency].[All]" allUniqueName="[job_postings].[skill_list.salary_currency].[All]" dimensionUniqueName="[job_postings]" displayFolder="" count="0" memberValueDatatype="130" unbalanced="0"/>
    <cacheHierarchy uniqueName="[job_postings].[skill_list.job_location]" caption="skill_list.job_location" attribute="1" defaultMemberUniqueName="[job_postings].[skill_list.job_location].[All]" allUniqueName="[job_postings].[skill_list.job_location].[All]" dimensionUniqueName="[job_postings]" displayFolder="" count="0" memberValueDatatype="130" unbalanced="0"/>
    <cacheHierarchy uniqueName="[job_postings].[skill_list.job_type]" caption="skill_list.job_type" attribute="1" defaultMemberUniqueName="[job_postings].[skill_list.job_type].[All]" allUniqueName="[job_postings].[skill_list.job_type].[All]" dimensionUniqueName="[job_postings]" displayFolder="" count="2" memberValueDatatype="130" unbalanced="0"/>
    <cacheHierarchy uniqueName="[job_postings].[skill_list.experience_level]" caption="skill_list.experience_level" attribute="1" defaultMemberUniqueName="[job_postings].[skill_list.experience_level].[All]" allUniqueName="[job_postings].[skill_list.experience_level].[All]" dimensionUniqueName="[job_postings]" displayFolder="" count="0" memberValueDatatype="130" unbalanced="0"/>
    <cacheHierarchy uniqueName="[job_postings].[skill_list.application_deadline]" caption="skill_list.application_deadline" attribute="1" time="1" defaultMemberUniqueName="[job_postings].[skill_list.application_deadline].[All]" allUniqueName="[job_postings].[skill_list.application_deadline].[All]" dimensionUniqueName="[job_postings]" displayFolder="" count="0" memberValueDatatype="7" unbalanced="0"/>
    <cacheHierarchy uniqueName="[job_postings].[skill_list.posting_date]" caption="skill_list.posting_date" attribute="1" time="1" defaultMemberUniqueName="[job_postings].[skill_list.posting_date].[All]" allUniqueName="[job_postings].[skill_list.posting_date].[All]" dimensionUniqueName="[job_postings]" displayFolder="" count="0" memberValueDatatype="7" unbalanced="0"/>
    <cacheHierarchy uniqueName="[job_postings].[skill_list.is_active]" caption="skill_list.is_active" attribute="1" defaultMemberUniqueName="[job_postings].[skill_list.is_active].[All]" allUniqueName="[job_postings].[skill_list.is_active].[All]" dimensionUniqueName="[job_postings]" displayFolder="" count="0" memberValueDatatype="130" unbalanced="0"/>
    <cacheHierarchy uniqueName="[job_postings].[skill_list.applications.application_id]" caption="skill_list.applications.application_id" attribute="1" defaultMemberUniqueName="[job_postings].[skill_list.applications.application_id].[All]" allUniqueName="[job_postings].[skill_list.applications.application_id].[All]" dimensionUniqueName="[job_postings]" displayFolder="" count="0" memberValueDatatype="20" unbalanced="0"/>
    <cacheHierarchy uniqueName="[job_postings].[skill_list.applications.applicant_name]" caption="skill_list.applications.applicant_name" attribute="1" defaultMemberUniqueName="[job_postings].[skill_list.applications.applicant_name].[All]" allUniqueName="[job_postings].[skill_list.applications.applicant_name].[All]" dimensionUniqueName="[job_postings]" displayFolder="" count="0" memberValueDatatype="130" unbalanced="0"/>
    <cacheHierarchy uniqueName="[job_postings].[skill_list.applications.applicant_email]" caption="skill_list.applications.applicant_email" attribute="1" defaultMemberUniqueName="[job_postings].[skill_list.applications.applicant_email].[All]" allUniqueName="[job_postings].[skill_list.applications.applicant_email].[All]" dimensionUniqueName="[job_postings]" displayFolder="" count="0" memberValueDatatype="130" unbalanced="0"/>
    <cacheHierarchy uniqueName="[job_postings].[skill_list.applications.application_date]" caption="skill_list.applications.application_date" attribute="1" time="1" defaultMemberUniqueName="[job_postings].[skill_list.applications.application_date].[All]" allUniqueName="[job_postings].[skill_list.applications.application_date].[All]" dimensionUniqueName="[job_postings]" displayFolder="" count="0" memberValueDatatype="7" unbalanced="0"/>
    <cacheHierarchy uniqueName="[job_postings].[skill_list.applications.resume_file_path]" caption="skill_list.applications.resume_file_path" attribute="1" defaultMemberUniqueName="[job_postings].[skill_list.applications.resume_file_path].[All]" allUniqueName="[job_postings].[skill_list.applications.resume_file_path].[All]" dimensionUniqueName="[job_postings]" displayFolder="" count="0" memberValueDatatype="130" unbalanced="0"/>
    <cacheHierarchy uniqueName="[job_postings].[skill_list.applications.cover_letter_text]" caption="skill_list.applications.cover_letter_text" attribute="1" defaultMemberUniqueName="[job_postings].[skill_list.applications.cover_letter_text].[All]" allUniqueName="[job_postings].[skill_list.applications.cover_letter_text].[All]" dimensionUniqueName="[job_postings]" displayFolder="" count="0" memberValueDatatype="130" unbalanced="0"/>
    <cacheHierarchy uniqueName="[job_postings].[skill_list.applications.application_status]" caption="skill_list.applications.application_status" attribute="1" defaultMemberUniqueName="[job_postings].[skill_list.applications.application_status].[All]" allUniqueName="[job_postings].[skill_list.applications.application_status].[All]" dimensionUniqueName="[job_postings]" displayFolder="" count="2" memberValueDatatype="130" unbalanced="0">
      <fieldsUsage count="2">
        <fieldUsage x="-1"/>
        <fieldUsage x="1"/>
      </fieldsUsage>
    </cacheHierarchy>
    <cacheHierarchy uniqueName="[job_postings].[skill_list.applications.status_updated_date]" caption="skill_list.applications.status_updated_date" attribute="1" time="1" defaultMemberUniqueName="[job_postings].[skill_list.applications.status_updated_date].[All]" allUniqueName="[job_postings].[skill_list.applications.status_updated_date].[All]" dimensionUniqueName="[job_postings]" displayFolder="" count="0" memberValueDatatype="7" unbalanced="0"/>
    <cacheHierarchy uniqueName="[job_postings].[skill_list.companies.company_id]" caption="skill_list.companies.company_id" attribute="1" defaultMemberUniqueName="[job_postings].[skill_list.companies.company_id].[All]" allUniqueName="[job_postings].[skill_list.companies.company_id].[All]" dimensionUniqueName="[job_postings]" displayFolder="" count="0" memberValueDatatype="20" unbalanced="0"/>
    <cacheHierarchy uniqueName="[job_postings].[skill_list.companies.company_name]" caption="skill_list.companies.company_name" attribute="1" defaultMemberUniqueName="[job_postings].[skill_list.companies.company_name].[All]" allUniqueName="[job_postings].[skill_list.companies.company_name].[All]" dimensionUniqueName="[job_postings]" displayFolder="" count="0" memberValueDatatype="130" unbalanced="0"/>
    <cacheHierarchy uniqueName="[job_postings].[skill_list.companies.industry]" caption="skill_list.companies.industry" attribute="1" defaultMemberUniqueName="[job_postings].[skill_list.companies.industry].[All]" allUniqueName="[job_postings].[skill_list.companies.industry].[All]" dimensionUniqueName="[job_postings]" displayFolder="" count="0" memberValueDatatype="130" unbalanced="0"/>
    <cacheHierarchy uniqueName="[job_postings].[skill_list.companies.company_size]" caption="skill_list.companies.company_size" attribute="1" defaultMemberUniqueName="[job_postings].[skill_list.companies.company_size].[All]" allUniqueName="[job_postings].[skill_list.companies.company_size].[All]" dimensionUniqueName="[job_postings]" displayFolder="" count="0" memberValueDatatype="130" unbalanced="0"/>
    <cacheHierarchy uniqueName="[job_postings].[skill_list.companies.headquarters_location]" caption="skill_list.companies.headquarters_location" attribute="1" defaultMemberUniqueName="[job_postings].[skill_list.companies.headquarters_location].[All]" allUniqueName="[job_postings].[skill_list.companies.headquarters_location].[All]" dimensionUniqueName="[job_postings]" displayFolder="" count="0" memberValueDatatype="130" unbalanced="0"/>
    <cacheHierarchy uniqueName="[job_postings].[skill_list.companies.website]" caption="skill_list.companies.website" attribute="1" defaultMemberUniqueName="[job_postings].[skill_list.companies.website].[All]" allUniqueName="[job_postings].[skill_list.companies.website].[All]" dimensionUniqueName="[job_postings]" displayFolder="" count="0" memberValueDatatype="130" unbalanced="0"/>
    <cacheHierarchy uniqueName="[job_postings].[skill_list.companies.created_date]" caption="skill_list.companies.created_date" attribute="1" time="1" defaultMemberUniqueName="[job_postings].[skill_list.companies.created_date].[All]" allUniqueName="[job_postings].[skill_list.companies.created_date].[All]" dimensionUniqueName="[job_postings]" displayFolder="" count="0" memberValueDatatype="7" unbalanced="0"/>
    <cacheHierarchy uniqueName="[job_postings].[skill_lists]" caption="skill_lists" attribute="1" defaultMemberUniqueName="[job_postings].[skill_lists].[All]" allUniqueName="[job_postings].[skill_lists].[All]" dimensionUniqueName="[job_postings]"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_lists.1]" caption="skill_lists.1" attribute="1" defaultMemberUniqueName="[job_skills].[skill_lists.1].[All]" allUniqueName="[job_skills].[skill_lists.1].[All]" dimensionUniqueName="[job_skills]" displayFolder="" count="0" memberValueDatatype="130" unbalanced="0"/>
    <cacheHierarchy uniqueName="[Measures].[__XL_Count job_postings]" caption="__XL_Count job_postings" measure="1" displayFolder="" measureGroup="job_postings"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y uniqueName="[Measures].[Sum of job_id]" caption="Sum of job_id" measure="1" displayFolder="" measureGroup="job_postings"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postings"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job_id]" caption="Average of job_id" measure="1" displayFolder="" measureGroup="job_postings" count="0" hidden="1">
      <extLst>
        <ext xmlns:x15="http://schemas.microsoft.com/office/spreadsheetml/2010/11/main" uri="{B97F6D7D-B522-45F9-BDA1-12C45D357490}">
          <x15:cacheHierarchy aggregatedColumn="0"/>
        </ext>
      </extLst>
    </cacheHierarchy>
    <cacheHierarchy uniqueName="[Measures].[Sum of job_id 2]" caption="Sum of job_id 2" measure="1" displayFolder="" measureGroup="job_skills" count="0" hidden="1">
      <extLst>
        <ext xmlns:x15="http://schemas.microsoft.com/office/spreadsheetml/2010/11/main" uri="{B97F6D7D-B522-45F9-BDA1-12C45D357490}">
          <x15:cacheHierarchy aggregatedColumn="30"/>
        </ext>
      </extLst>
    </cacheHierarchy>
    <cacheHierarchy uniqueName="[Measures].[Count of job_id 2]" caption="Count of job_id 2" measure="1" displayFolder="" measureGroup="job_skills" count="0" hidden="1">
      <extLst>
        <ext xmlns:x15="http://schemas.microsoft.com/office/spreadsheetml/2010/11/main" uri="{B97F6D7D-B522-45F9-BDA1-12C45D357490}">
          <x15:cacheHierarchy aggregatedColumn="30"/>
        </ext>
      </extLst>
    </cacheHierarchy>
    <cacheHierarchy uniqueName="[Measures].[Sum of skill_list.salary_max]" caption="Sum of skill_list.salary_max" measure="1" displayFolder="" measureGroup="job_postings" count="0" hidden="1">
      <extLst>
        <ext xmlns:x15="http://schemas.microsoft.com/office/spreadsheetml/2010/11/main" uri="{B97F6D7D-B522-45F9-BDA1-12C45D357490}">
          <x15:cacheHierarchy aggregatedColumn="6"/>
        </ext>
      </extLst>
    </cacheHierarchy>
    <cacheHierarchy uniqueName="[Measures].[Average of skill_list.salary_max]" caption="Average of skill_list.salary_max" measure="1" displayFolder="" measureGroup="job_postings" count="0" hidden="1">
      <extLst>
        <ext xmlns:x15="http://schemas.microsoft.com/office/spreadsheetml/2010/11/main" uri="{B97F6D7D-B522-45F9-BDA1-12C45D357490}">
          <x15:cacheHierarchy aggregatedColumn="6"/>
        </ext>
      </extLst>
    </cacheHierarchy>
    <cacheHierarchy uniqueName="[Measures].[Count of skill_list.job_location]" caption="Count of skill_list.job_location" measure="1" displayFolder="" measureGroup="job_postings" count="0" hidden="1">
      <extLst>
        <ext xmlns:x15="http://schemas.microsoft.com/office/spreadsheetml/2010/11/main" uri="{B97F6D7D-B522-45F9-BDA1-12C45D357490}">
          <x15:cacheHierarchy aggregatedColumn="8"/>
        </ext>
      </extLst>
    </cacheHierarchy>
  </cacheHierarchies>
  <kpis count="0"/>
  <dimensions count="3">
    <dimension name="job_postings" uniqueName="[job_postings]" caption="job_postings"/>
    <dimension name="job_skills" uniqueName="[job_skills]" caption="job_skills"/>
    <dimension measure="1" name="Measures" uniqueName="[Measures]" caption="Measures"/>
  </dimensions>
  <measureGroups count="2">
    <measureGroup name="job_postings" caption="job_postings"/>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99.517397685187" backgroundQuery="1" createdVersion="3" refreshedVersion="8" minRefreshableVersion="3" recordCount="0" supportSubquery="1" supportAdvancedDrill="1" xr:uid="{DC7DEA35-E20D-4B10-A697-837591A7ED49}">
  <cacheSource type="external" connectionId="6">
    <extLst>
      <ext xmlns:x14="http://schemas.microsoft.com/office/spreadsheetml/2009/9/main" uri="{F057638F-6D5F-4e77-A914-E7F072B9BCA8}">
        <x14:sourceConnection name="ThisWorkbookDataModel"/>
      </ext>
    </extLst>
  </cacheSource>
  <cacheFields count="0"/>
  <cacheHierarchies count="47">
    <cacheHierarchy uniqueName="[job_postings].[job_id]" caption="job_id" attribute="1" defaultMemberUniqueName="[job_postings].[job_id].[All]" allUniqueName="[job_postings].[job_id].[All]" dimensionUniqueName="[job_postings]" displayFolder="" count="0" memberValueDatatype="20" unbalanced="0"/>
    <cacheHierarchy uniqueName="[job_postings].[skill_list.job_id]" caption="skill_list.job_id" attribute="1" defaultMemberUniqueName="[job_postings].[skill_list.job_id].[All]" allUniqueName="[job_postings].[skill_list.job_id].[All]" dimensionUniqueName="[job_postings]" displayFolder="" count="0" memberValueDatatype="20" unbalanced="0"/>
    <cacheHierarchy uniqueName="[job_postings].[skill_list.company_id]" caption="skill_list.company_id" attribute="1" defaultMemberUniqueName="[job_postings].[skill_list.company_id].[All]" allUniqueName="[job_postings].[skill_list.company_id].[All]" dimensionUniqueName="[job_postings]" displayFolder="" count="0" memberValueDatatype="20" unbalanced="0"/>
    <cacheHierarchy uniqueName="[job_postings].[skill_list.job_title]" caption="skill_list.job_title" attribute="1" defaultMemberUniqueName="[job_postings].[skill_list.job_title].[All]" allUniqueName="[job_postings].[skill_list.job_title].[All]" dimensionUniqueName="[job_postings]" displayFolder="" count="0" memberValueDatatype="130" unbalanced="0"/>
    <cacheHierarchy uniqueName="[job_postings].[skill_list.job_description]" caption="skill_list.job_description" attribute="1" defaultMemberUniqueName="[job_postings].[skill_list.job_description].[All]" allUniqueName="[job_postings].[skill_list.job_description].[All]" dimensionUniqueName="[job_postings]" displayFolder="" count="0" memberValueDatatype="130" unbalanced="0"/>
    <cacheHierarchy uniqueName="[job_postings].[skill_list.salary_min]" caption="skill_list.salary_min" attribute="1" defaultMemberUniqueName="[job_postings].[skill_list.salary_min].[All]" allUniqueName="[job_postings].[skill_list.salary_min].[All]" dimensionUniqueName="[job_postings]" displayFolder="" count="0" memberValueDatatype="20" unbalanced="0"/>
    <cacheHierarchy uniqueName="[job_postings].[skill_list.salary_max]" caption="skill_list.salary_max" attribute="1" defaultMemberUniqueName="[job_postings].[skill_list.salary_max].[All]" allUniqueName="[job_postings].[skill_list.salary_max].[All]" dimensionUniqueName="[job_postings]" displayFolder="" count="0" memberValueDatatype="20" unbalanced="0"/>
    <cacheHierarchy uniqueName="[job_postings].[skill_list.salary_currency]" caption="skill_list.salary_currency" attribute="1" defaultMemberUniqueName="[job_postings].[skill_list.salary_currency].[All]" allUniqueName="[job_postings].[skill_list.salary_currency].[All]" dimensionUniqueName="[job_postings]" displayFolder="" count="0" memberValueDatatype="130" unbalanced="0"/>
    <cacheHierarchy uniqueName="[job_postings].[skill_list.job_location]" caption="skill_list.job_location" attribute="1" defaultMemberUniqueName="[job_postings].[skill_list.job_location].[All]" allUniqueName="[job_postings].[skill_list.job_location].[All]" dimensionUniqueName="[job_postings]" displayFolder="" count="0" memberValueDatatype="130" unbalanced="0"/>
    <cacheHierarchy uniqueName="[job_postings].[skill_list.job_type]" caption="skill_list.job_type" attribute="1" defaultMemberUniqueName="[job_postings].[skill_list.job_type].[All]" allUniqueName="[job_postings].[skill_list.job_type].[All]" dimensionUniqueName="[job_postings]" displayFolder="" count="0" memberValueDatatype="130" unbalanced="0"/>
    <cacheHierarchy uniqueName="[job_postings].[skill_list.experience_level]" caption="skill_list.experience_level" attribute="1" defaultMemberUniqueName="[job_postings].[skill_list.experience_level].[All]" allUniqueName="[job_postings].[skill_list.experience_level].[All]" dimensionUniqueName="[job_postings]" displayFolder="" count="0" memberValueDatatype="130" unbalanced="0"/>
    <cacheHierarchy uniqueName="[job_postings].[skill_list.application_deadline]" caption="skill_list.application_deadline" attribute="1" time="1" defaultMemberUniqueName="[job_postings].[skill_list.application_deadline].[All]" allUniqueName="[job_postings].[skill_list.application_deadline].[All]" dimensionUniqueName="[job_postings]" displayFolder="" count="0" memberValueDatatype="7" unbalanced="0"/>
    <cacheHierarchy uniqueName="[job_postings].[skill_list.posting_date]" caption="skill_list.posting_date" attribute="1" time="1" defaultMemberUniqueName="[job_postings].[skill_list.posting_date].[All]" allUniqueName="[job_postings].[skill_list.posting_date].[All]" dimensionUniqueName="[job_postings]" displayFolder="" count="0" memberValueDatatype="7" unbalanced="0"/>
    <cacheHierarchy uniqueName="[job_postings].[skill_list.is_active]" caption="skill_list.is_active" attribute="1" defaultMemberUniqueName="[job_postings].[skill_list.is_active].[All]" allUniqueName="[job_postings].[skill_list.is_active].[All]" dimensionUniqueName="[job_postings]" displayFolder="" count="0" memberValueDatatype="130" unbalanced="0"/>
    <cacheHierarchy uniqueName="[job_postings].[skill_list.applications.application_id]" caption="skill_list.applications.application_id" attribute="1" defaultMemberUniqueName="[job_postings].[skill_list.applications.application_id].[All]" allUniqueName="[job_postings].[skill_list.applications.application_id].[All]" dimensionUniqueName="[job_postings]" displayFolder="" count="0" memberValueDatatype="20" unbalanced="0"/>
    <cacheHierarchy uniqueName="[job_postings].[skill_list.applications.applicant_name]" caption="skill_list.applications.applicant_name" attribute="1" defaultMemberUniqueName="[job_postings].[skill_list.applications.applicant_name].[All]" allUniqueName="[job_postings].[skill_list.applications.applicant_name].[All]" dimensionUniqueName="[job_postings]" displayFolder="" count="0" memberValueDatatype="130" unbalanced="0"/>
    <cacheHierarchy uniqueName="[job_postings].[skill_list.applications.applicant_email]" caption="skill_list.applications.applicant_email" attribute="1" defaultMemberUniqueName="[job_postings].[skill_list.applications.applicant_email].[All]" allUniqueName="[job_postings].[skill_list.applications.applicant_email].[All]" dimensionUniqueName="[job_postings]" displayFolder="" count="0" memberValueDatatype="130" unbalanced="0"/>
    <cacheHierarchy uniqueName="[job_postings].[skill_list.applications.application_date]" caption="skill_list.applications.application_date" attribute="1" time="1" defaultMemberUniqueName="[job_postings].[skill_list.applications.application_date].[All]" allUniqueName="[job_postings].[skill_list.applications.application_date].[All]" dimensionUniqueName="[job_postings]" displayFolder="" count="0" memberValueDatatype="7" unbalanced="0"/>
    <cacheHierarchy uniqueName="[job_postings].[skill_list.applications.resume_file_path]" caption="skill_list.applications.resume_file_path" attribute="1" defaultMemberUniqueName="[job_postings].[skill_list.applications.resume_file_path].[All]" allUniqueName="[job_postings].[skill_list.applications.resume_file_path].[All]" dimensionUniqueName="[job_postings]" displayFolder="" count="0" memberValueDatatype="130" unbalanced="0"/>
    <cacheHierarchy uniqueName="[job_postings].[skill_list.applications.cover_letter_text]" caption="skill_list.applications.cover_letter_text" attribute="1" defaultMemberUniqueName="[job_postings].[skill_list.applications.cover_letter_text].[All]" allUniqueName="[job_postings].[skill_list.applications.cover_letter_text].[All]" dimensionUniqueName="[job_postings]" displayFolder="" count="0" memberValueDatatype="130" unbalanced="0"/>
    <cacheHierarchy uniqueName="[job_postings].[skill_list.applications.application_status]" caption="skill_list.applications.application_status" attribute="1" defaultMemberUniqueName="[job_postings].[skill_list.applications.application_status].[All]" allUniqueName="[job_postings].[skill_list.applications.application_status].[All]" dimensionUniqueName="[job_postings]" displayFolder="" count="0" memberValueDatatype="130" unbalanced="0"/>
    <cacheHierarchy uniqueName="[job_postings].[skill_list.applications.status_updated_date]" caption="skill_list.applications.status_updated_date" attribute="1" time="1" defaultMemberUniqueName="[job_postings].[skill_list.applications.status_updated_date].[All]" allUniqueName="[job_postings].[skill_list.applications.status_updated_date].[All]" dimensionUniqueName="[job_postings]" displayFolder="" count="0" memberValueDatatype="7" unbalanced="0"/>
    <cacheHierarchy uniqueName="[job_postings].[skill_list.companies.company_id]" caption="skill_list.companies.company_id" attribute="1" defaultMemberUniqueName="[job_postings].[skill_list.companies.company_id].[All]" allUniqueName="[job_postings].[skill_list.companies.company_id].[All]" dimensionUniqueName="[job_postings]" displayFolder="" count="0" memberValueDatatype="20" unbalanced="0"/>
    <cacheHierarchy uniqueName="[job_postings].[skill_list.companies.company_name]" caption="skill_list.companies.company_name" attribute="1" defaultMemberUniqueName="[job_postings].[skill_list.companies.company_name].[All]" allUniqueName="[job_postings].[skill_list.companies.company_name].[All]" dimensionUniqueName="[job_postings]" displayFolder="" count="0" memberValueDatatype="130" unbalanced="0"/>
    <cacheHierarchy uniqueName="[job_postings].[skill_list.companies.industry]" caption="skill_list.companies.industry" attribute="1" defaultMemberUniqueName="[job_postings].[skill_list.companies.industry].[All]" allUniqueName="[job_postings].[skill_list.companies.industry].[All]" dimensionUniqueName="[job_postings]" displayFolder="" count="0" memberValueDatatype="130" unbalanced="0"/>
    <cacheHierarchy uniqueName="[job_postings].[skill_list.companies.company_size]" caption="skill_list.companies.company_size" attribute="1" defaultMemberUniqueName="[job_postings].[skill_list.companies.company_size].[All]" allUniqueName="[job_postings].[skill_list.companies.company_size].[All]" dimensionUniqueName="[job_postings]" displayFolder="" count="0" memberValueDatatype="130" unbalanced="0"/>
    <cacheHierarchy uniqueName="[job_postings].[skill_list.companies.headquarters_location]" caption="skill_list.companies.headquarters_location" attribute="1" defaultMemberUniqueName="[job_postings].[skill_list.companies.headquarters_location].[All]" allUniqueName="[job_postings].[skill_list.companies.headquarters_location].[All]" dimensionUniqueName="[job_postings]" displayFolder="" count="0" memberValueDatatype="130" unbalanced="0"/>
    <cacheHierarchy uniqueName="[job_postings].[skill_list.companies.website]" caption="skill_list.companies.website" attribute="1" defaultMemberUniqueName="[job_postings].[skill_list.companies.website].[All]" allUniqueName="[job_postings].[skill_list.companies.website].[All]" dimensionUniqueName="[job_postings]" displayFolder="" count="0" memberValueDatatype="130" unbalanced="0"/>
    <cacheHierarchy uniqueName="[job_postings].[skill_list.companies.created_date]" caption="skill_list.companies.created_date" attribute="1" time="1" defaultMemberUniqueName="[job_postings].[skill_list.companies.created_date].[All]" allUniqueName="[job_postings].[skill_list.companies.created_date].[All]" dimensionUniqueName="[job_postings]" displayFolder="" count="0" memberValueDatatype="7" unbalanced="0"/>
    <cacheHierarchy uniqueName="[job_postings].[skill_lists]" caption="skill_lists" attribute="1" defaultMemberUniqueName="[job_postings].[skill_lists].[All]" allUniqueName="[job_postings].[skill_lists].[All]" dimensionUniqueName="[job_postings]"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_lists.1]" caption="skill_lists.1" attribute="1" defaultMemberUniqueName="[job_skills].[skill_lists.1].[All]" allUniqueName="[job_skills].[skill_lists.1].[All]" dimensionUniqueName="[job_skills]" displayFolder="" count="0" memberValueDatatype="130" unbalanced="0"/>
    <cacheHierarchy uniqueName="[skills].[skill_id]" caption="skill_id" attribute="1" defaultMemberUniqueName="[skills].[skill_id].[All]" allUniqueName="[skills].[skill_id].[All]" dimensionUniqueName="[skills]" displayFolder="" count="0" memberValueDatatype="20" unbalanced="0"/>
    <cacheHierarchy uniqueName="[skills].[skill_name]" caption="skill_name" attribute="1" defaultMemberUniqueName="[skills].[skill_name].[All]" allUniqueName="[skills].[skill_name].[All]" dimensionUniqueName="[skills]" displayFolder="" count="0" memberValueDatatype="130" unbalanced="0"/>
    <cacheHierarchy uniqueName="[skills].[skill_category]" caption="skill_category" attribute="1" defaultMemberUniqueName="[skills].[skill_category].[All]" allUniqueName="[skills].[skill_category].[All]" dimensionUniqueName="[skills]" displayFolder="" count="0" memberValueDatatype="130" unbalanced="0"/>
    <cacheHierarchy uniqueName="[Measures].[__XL_Count job_postings]" caption="__XL_Count job_postings" measure="1" displayFolder="" measureGroup="job_postings" count="0" hidden="1"/>
    <cacheHierarchy uniqueName="[Measures].[__XL_Count job_skills]" caption="__XL_Count job_skills" measure="1" displayFolder="" measureGroup="job_skills" count="0" hidden="1"/>
    <cacheHierarchy uniqueName="[Measures].[__XL_Count skills]" caption="__XL_Count skills" measure="1" displayFolder="" measureGroup="skills" count="0" hidden="1"/>
    <cacheHierarchy uniqueName="[Measures].[__No measures defined]" caption="__No measures defined" measure="1" displayFolder="" count="0" hidden="1"/>
    <cacheHierarchy uniqueName="[Measures].[Sum of job_id]" caption="Sum of job_id" measure="1" displayFolder="" measureGroup="job_postings" count="0" hidden="1">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postings" count="0" hidden="1">
      <extLst>
        <ext xmlns:x15="http://schemas.microsoft.com/office/spreadsheetml/2010/11/main" uri="{B97F6D7D-B522-45F9-BDA1-12C45D357490}">
          <x15:cacheHierarchy aggregatedColumn="0"/>
        </ext>
      </extLst>
    </cacheHierarchy>
    <cacheHierarchy uniqueName="[Measures].[Average of job_id]" caption="Average of job_id" measure="1" displayFolder="" measureGroup="job_postings" count="0" hidden="1">
      <extLst>
        <ext xmlns:x15="http://schemas.microsoft.com/office/spreadsheetml/2010/11/main" uri="{B97F6D7D-B522-45F9-BDA1-12C45D357490}">
          <x15:cacheHierarchy aggregatedColumn="0"/>
        </ext>
      </extLst>
    </cacheHierarchy>
    <cacheHierarchy uniqueName="[Measures].[Sum of job_id 2]" caption="Sum of job_id 2" measure="1" displayFolder="" measureGroup="job_skills" count="0" hidden="1">
      <extLst>
        <ext xmlns:x15="http://schemas.microsoft.com/office/spreadsheetml/2010/11/main" uri="{B97F6D7D-B522-45F9-BDA1-12C45D357490}">
          <x15:cacheHierarchy aggregatedColumn="30"/>
        </ext>
      </extLst>
    </cacheHierarchy>
    <cacheHierarchy uniqueName="[Measures].[Count of job_id 2]" caption="Count of job_id 2" measure="1" displayFolder="" measureGroup="job_skills" count="0" hidden="1">
      <extLst>
        <ext xmlns:x15="http://schemas.microsoft.com/office/spreadsheetml/2010/11/main" uri="{B97F6D7D-B522-45F9-BDA1-12C45D357490}">
          <x15:cacheHierarchy aggregatedColumn="30"/>
        </ext>
      </extLst>
    </cacheHierarchy>
    <cacheHierarchy uniqueName="[Measures].[Sum of skill_list.salary_max]" caption="Sum of skill_list.salary_max" measure="1" displayFolder="" measureGroup="job_postings" count="0" hidden="1">
      <extLst>
        <ext xmlns:x15="http://schemas.microsoft.com/office/spreadsheetml/2010/11/main" uri="{B97F6D7D-B522-45F9-BDA1-12C45D357490}">
          <x15:cacheHierarchy aggregatedColumn="6"/>
        </ext>
      </extLst>
    </cacheHierarchy>
    <cacheHierarchy uniqueName="[Measures].[Average of skill_list.salary_max]" caption="Average of skill_list.salary_max" measure="1" displayFolder="" measureGroup="job_postings" count="0" hidden="1">
      <extLst>
        <ext xmlns:x15="http://schemas.microsoft.com/office/spreadsheetml/2010/11/main" uri="{B97F6D7D-B522-45F9-BDA1-12C45D357490}">
          <x15:cacheHierarchy aggregatedColumn="6"/>
        </ext>
      </extLst>
    </cacheHierarchy>
    <cacheHierarchy uniqueName="[Measures].[Count of skill_list.job_location]" caption="Count of skill_list.job_location" measure="1" displayFolder="" measureGroup="job_postings" count="0" hidden="1">
      <extLst>
        <ext xmlns:x15="http://schemas.microsoft.com/office/spreadsheetml/2010/11/main" uri="{B97F6D7D-B522-45F9-BDA1-12C45D357490}">
          <x15:cacheHierarchy aggregatedColumn="8"/>
        </ext>
      </extLst>
    </cacheHierarchy>
  </cacheHierarchies>
  <kpis count="0"/>
  <dimensions count="4">
    <dimension name="job_postings" uniqueName="[job_postings]" caption="job_postings"/>
    <dimension name="job_skills" uniqueName="[job_skills]" caption="job_skills"/>
    <dimension measure="1" name="Measures" uniqueName="[Measures]" caption="Measures"/>
    <dimension name="skills" uniqueName="[skills]" caption="skills"/>
  </dimensions>
  <measureGroups count="3">
    <measureGroup name="job_postings" caption="job_postings"/>
    <measureGroup name="job_skills" caption="job_skills"/>
    <measureGroup name="skills" caption="skills"/>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licerData="1" pivotCacheId="2211827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ED2F56-C171-41BE-B435-86B0AC810EB9}" name="PivotTable12" cacheId="175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42:O44"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Count of job_id" fld="1"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job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 filterVal="1"/>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job_postings">
        <x15:activeTabTopLevelEntity name="[job_pos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583D3D-26F9-4858-8C71-88CE0CFBD355}" name="PivotTable9" cacheId="216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88:A8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job_i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job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job_postings">
        <x15:activeTabTopLevelEntity name="[job_pos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C41E48-5F97-4660-9FBB-7FB8A78C2D42}" name="PivotTable3" cacheId="2155"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10" rowHeaderCaption="Experience Level">
  <location ref="A22:B2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 of Data Job" fld="1" subtotal="count" showDataAs="percentOfTotal" baseField="0" baseItem="0" numFmtId="9"/>
  </dataFields>
  <formats count="2">
    <format dxfId="45">
      <pivotArea dataOnly="0" labelOnly="1" outline="0" axis="axisValues" fieldPosition="0"/>
    </format>
    <format dxfId="46">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of Data Job"/>
    <pivotHierarchy dragToData="1" caption="Average of job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job_postings">
        <x15:activeTabTopLevelEntity name="[job_pos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6D9F2B-A63E-4E94-8870-8D754F99E1DF}" name="PivotTable1" cacheId="2152"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20" rowHeaderCaption="Top 5 Job Titles">
  <location ref="A1:B7" firstHeaderRow="1" firstDataRow="1" firstDataCol="1"/>
  <pivotFields count="3">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v="3"/>
    </i>
    <i>
      <x/>
    </i>
    <i>
      <x v="2"/>
    </i>
    <i t="grand">
      <x/>
    </i>
  </rowItems>
  <colItems count="1">
    <i/>
  </colItems>
  <dataFields count="1">
    <dataField name="Average of skill_list.salary_max" fld="1" subtotal="average" baseField="0" baseItem="0"/>
  </dataFields>
  <formats count="3">
    <format dxfId="47">
      <pivotArea dataOnly="0" outline="0" axis="axisValues" fieldPosition="0"/>
    </format>
    <format dxfId="48">
      <pivotArea collapsedLevelsAreSubtotals="1" fieldPosition="0">
        <references count="1">
          <reference field="0" count="1">
            <x v="5"/>
          </reference>
        </references>
      </pivotArea>
    </format>
    <format dxfId="49">
      <pivotArea outline="0" collapsedLevelsAreSubtotals="1" fieldPosition="0"/>
    </format>
  </formats>
  <chartFormats count="3">
    <chartFormat chart="17"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0" count="1" selected="0">
            <x v="4"/>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kill_list.salary_max"/>
    <pivotHierarchy dragToData="1"/>
  </pivotHierarchies>
  <pivotTableStyleInfo name="PivotStyleLight16" showRowHeaders="1" showColHeaders="1" showRowStripes="0" showColStripes="0" showLastColumn="1"/>
  <filters count="1">
    <filter fld="0" type="count" id="4" iMeasureHier="41">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job_postings">
        <x15:activeTabTopLevelEntity name="[job_pos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9A4C71-9C18-4D45-A008-1A7ADE9D894D}" name="PivotTable7" cacheId="2161"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9" rowHeaderCaption="Region">
  <location ref="A65:B81" firstHeaderRow="1" firstDataRow="1" firstDataCol="1"/>
  <pivotFields count="3">
    <pivotField axis="axisRow" allDrilled="1" subtotalTop="0" showAll="0" sortType="ascending"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skill_list.job_location" fld="1" subtotal="count" baseField="0" baseItem="0"/>
  </dataFields>
  <chartFormats count="4">
    <chartFormat chart="0"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job_postings">
        <x15:activeTabTopLevelEntity name="[job_pos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92589E-B836-4345-B325-4AE920E1ECCF}" name="PivotTable5" cacheId="2158"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6" rowHeaderCaption="Skills">
  <location ref="A44:B55"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2"/>
    </i>
    <i>
      <x v="5"/>
    </i>
    <i>
      <x v="6"/>
    </i>
    <i>
      <x v="9"/>
    </i>
    <i>
      <x v="8"/>
    </i>
    <i>
      <x v="3"/>
    </i>
    <i>
      <x v="7"/>
    </i>
    <i>
      <x/>
    </i>
    <i>
      <x v="1"/>
    </i>
    <i t="grand">
      <x/>
    </i>
  </rowItems>
  <colItems count="1">
    <i/>
  </colItems>
  <dataFields count="1">
    <dataField name="Count of job_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job_id"/>
    <pivotHierarchy dragToData="1"/>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job_skills">
        <x15:activeTabTopLevelEntity name="[job_skills]"/>
        <x15:activeTabTopLevelEntity name="[job_posting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EBA41EF5-53F5-4E67-8914-82592C40C7C4}" autoFormatId="16" applyNumberFormats="0" applyBorderFormats="0" applyFontFormats="0" applyPatternFormats="0" applyAlignmentFormats="0" applyWidthHeightFormats="0">
  <queryTableRefresh nextId="4">
    <queryTableFields count="3">
      <queryTableField id="1" name="skill_id" tableColumnId="1"/>
      <queryTableField id="2" name="skill_name" tableColumnId="2"/>
      <queryTableField id="3" name="skill_category"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7C043CEA-73C9-4948-8E0B-21181C7E842E}" autoFormatId="16" applyNumberFormats="0" applyBorderFormats="0" applyFontFormats="0" applyPatternFormats="0" applyAlignmentFormats="0" applyWidthHeightFormats="0">
  <queryTableRefresh nextId="3">
    <queryTableFields count="2">
      <queryTableField id="1" name="job_id" tableColumnId="1"/>
      <queryTableField id="2" name="skill_lists.1"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A423B044-ADCA-4410-A02E-AB32C1984A1E}" autoFormatId="16" applyNumberFormats="0" applyBorderFormats="0" applyFontFormats="0" applyPatternFormats="0" applyAlignmentFormats="0" applyWidthHeightFormats="0">
  <queryTableRefresh nextId="59">
    <queryTableFields count="30">
      <queryTableField id="1" name="job_id" tableColumnId="1"/>
      <queryTableField id="30" name="skill_list.job_id" tableColumnId="2"/>
      <queryTableField id="31" name="skill_list.company_id" tableColumnId="3"/>
      <queryTableField id="32" name="skill_list.job_title" tableColumnId="4"/>
      <queryTableField id="33" name="skill_list.job_description" tableColumnId="5"/>
      <queryTableField id="34" name="skill_list.salary_min" tableColumnId="6"/>
      <queryTableField id="35" name="skill_list.salary_max" tableColumnId="7"/>
      <queryTableField id="36" name="skill_list.salary_currency" tableColumnId="8"/>
      <queryTableField id="37" name="skill_list.job_location" tableColumnId="9"/>
      <queryTableField id="38" name="skill_list.job_type" tableColumnId="10"/>
      <queryTableField id="39" name="skill_list.experience_level" tableColumnId="11"/>
      <queryTableField id="40" name="skill_list.application_deadline" tableColumnId="12"/>
      <queryTableField id="41" name="skill_list.posting_date" tableColumnId="13"/>
      <queryTableField id="42" name="skill_list.is_active" tableColumnId="14"/>
      <queryTableField id="43" name="skill_list.applications.application_id" tableColumnId="15"/>
      <queryTableField id="44" name="skill_list.applications.applicant_name" tableColumnId="16"/>
      <queryTableField id="45" name="skill_list.applications.applicant_email" tableColumnId="17"/>
      <queryTableField id="46" name="skill_list.applications.application_date" tableColumnId="18"/>
      <queryTableField id="47" name="skill_list.applications.resume_file_path" tableColumnId="19"/>
      <queryTableField id="48" name="skill_list.applications.cover_letter_text" tableColumnId="20"/>
      <queryTableField id="49" name="skill_list.applications.application_status" tableColumnId="21"/>
      <queryTableField id="50" name="skill_list.applications.status_updated_date" tableColumnId="22"/>
      <queryTableField id="51" name="skill_list.companies.company_id" tableColumnId="23"/>
      <queryTableField id="52" name="skill_list.companies.company_name" tableColumnId="24"/>
      <queryTableField id="53" name="skill_list.companies.industry" tableColumnId="25"/>
      <queryTableField id="54" name="skill_list.companies.company_size" tableColumnId="26"/>
      <queryTableField id="55" name="skill_list.companies.headquarters_location" tableColumnId="27"/>
      <queryTableField id="56" name="skill_list.companies.website" tableColumnId="28"/>
      <queryTableField id="57" name="skill_list.companies.created_date" tableColumnId="29"/>
      <queryTableField id="58" name="skill_lists" tableColumnId="3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775857B3-C814-416F-8F78-C61A51B257B1}" autoFormatId="16" applyNumberFormats="0" applyBorderFormats="0" applyFontFormats="0" applyPatternFormats="0" applyAlignmentFormats="0" applyWidthHeightFormats="0">
  <queryTableRefresh nextId="10">
    <queryTableFields count="9">
      <queryTableField id="1" name="application_id" tableColumnId="1"/>
      <queryTableField id="2" name="job_id" tableColumnId="2"/>
      <queryTableField id="3" name="applicant_name" tableColumnId="3"/>
      <queryTableField id="4" name="applicant_email" tableColumnId="4"/>
      <queryTableField id="5" name="application_date" tableColumnId="5"/>
      <queryTableField id="6" name="resume_file_path" tableColumnId="6"/>
      <queryTableField id="7" name="cover_letter_text" tableColumnId="7"/>
      <queryTableField id="8" name="application_status" tableColumnId="8"/>
      <queryTableField id="9" name="status_updated_date"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A2412B5E-B189-44FE-88AD-A08D775212F6}" autoFormatId="16" applyNumberFormats="0" applyBorderFormats="0" applyFontFormats="0" applyPatternFormats="0" applyAlignmentFormats="0" applyWidthHeightFormats="0">
  <queryTableRefresh nextId="8">
    <queryTableFields count="7">
      <queryTableField id="1" name="company_id" tableColumnId="1"/>
      <queryTableField id="2" name="company_name" tableColumnId="2"/>
      <queryTableField id="3" name="industry" tableColumnId="3"/>
      <queryTableField id="4" name="company_size" tableColumnId="4"/>
      <queryTableField id="5" name="headquarters_location" tableColumnId="5"/>
      <queryTableField id="6" name="website" tableColumnId="6"/>
      <queryTableField id="7" name="created_dat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9F9A1B5E-23B4-4D18-8EE2-D9E89CC3E8FE}" sourceName="[job_postings].[skill_list.job_type]">
  <pivotTables>
    <pivotTable tabId="1" name="PivotTable1"/>
    <pivotTable tabId="1" name="PivotTable3"/>
    <pivotTable tabId="1" name="PivotTable5"/>
    <pivotTable tabId="1" name="PivotTable7"/>
    <pivotTable tabId="1" name="PivotTable9"/>
  </pivotTables>
  <data>
    <olap pivotCacheId="221182711">
      <levels count="2">
        <level uniqueName="[job_postings].[skill_list.job_type].[(All)]" sourceCaption="(All)" count="0"/>
        <level uniqueName="[job_postings].[skill_list.job_type].[skill_list.job_type]" sourceCaption="skill_list.job_type" count="3">
          <ranges>
            <range startItem="0">
              <i n="[job_postings].[skill_list.job_type].&amp;[Hybrid]" c="Hybrid"/>
              <i n="[job_postings].[skill_list.job_type].&amp;[On-site]" c="On-site"/>
              <i n="[job_postings].[skill_list.job_type].&amp;[Remote]" c="Remote"/>
            </range>
          </ranges>
        </level>
      </levels>
      <selections count="1">
        <selection n="[job_postings].[skill_list.job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s.application_status" xr10:uid="{5DB2FE11-F78E-471C-8E2A-73F58DB9B932}" sourceName="[job_postings].[skill_list.applications.application_status]">
  <pivotTables>
    <pivotTable tabId="1" name="PivotTable1"/>
    <pivotTable tabId="1" name="PivotTable3"/>
    <pivotTable tabId="1" name="PivotTable5"/>
    <pivotTable tabId="1" name="PivotTable7"/>
    <pivotTable tabId="1" name="PivotTable9"/>
  </pivotTables>
  <data>
    <olap pivotCacheId="221182711">
      <levels count="2">
        <level uniqueName="[job_postings].[skill_list.applications.application_status].[(All)]" sourceCaption="(All)" count="0"/>
        <level uniqueName="[job_postings].[skill_list.applications.application_status].[skill_list.applications.application_status]" sourceCaption="skill_list.applications.application_status" count="4">
          <ranges>
            <range startItem="0">
              <i n="[job_postings].[skill_list.applications.application_status].&amp;[Applied]" c="Applied"/>
              <i n="[job_postings].[skill_list.applications.application_status].&amp;[Interview]" c="Interview"/>
              <i n="[job_postings].[skill_list.applications.application_status].&amp;[Offered]" c="Offered"/>
              <i n="[job_postings].[skill_list.applications.application_status].&amp;[Reviewed]" c="Reviewed"/>
            </range>
          </ranges>
        </level>
      </levels>
      <selections count="1">
        <selection n="[job_postings].[skill_list.applications.application_status].[All]"/>
      </selections>
    </olap>
  </data>
  <extLst>
    <x:ext xmlns:x15="http://schemas.microsoft.com/office/spreadsheetml/2010/11/main" uri="{470722E0-AACD-4C17-9CDC-17EF765DBC7E}">
      <x15:slicerCacheHideItemsWithNoData count="1">
        <x15:slicerCacheOlapLevelName uniqueName="[job_postings].[skill_list.applications.application_status].[skill_list.applications.application_status]"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A38F7F7D-2B5E-47F7-B813-2BD1325AB6F2}" cache="Slicer_job_type" caption="Job Type" level="1" lockedPosition="1" rowHeight="247650"/>
  <slicer name="applications.application_status" xr10:uid="{635958A7-03A8-4BF2-9F0D-1D9C675F934C}" cache="Slicer_applications.application_status" caption="Application Status" level="1" lockedPosition="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F6CA9B-1832-4EBE-90CB-CE1585BF12C6}" name="skills" displayName="skills" ref="A1:C26" tableType="queryTable" totalsRowShown="0">
  <autoFilter ref="A1:C26" xr:uid="{B3F6CA9B-1832-4EBE-90CB-CE1585BF12C6}"/>
  <tableColumns count="3">
    <tableColumn id="1" xr3:uid="{BB3D8775-1794-4C9B-A6A9-94169B7C6435}" uniqueName="1" name="skill_id" queryTableFieldId="1"/>
    <tableColumn id="2" xr3:uid="{7D0E503B-B821-4F61-8A8F-A34E1869A440}" uniqueName="2" name="skill_name" queryTableFieldId="2" dataDxfId="87"/>
    <tableColumn id="3" xr3:uid="{051AB5A9-AC28-4DF7-AC8A-00220BCA704D}" uniqueName="3" name="skill_category" queryTableFieldId="3" dataDxfId="8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72E08C-D949-4191-92DA-C57A9D61C849}" name="job_skills" displayName="job_skills" ref="A1:B148" tableType="queryTable" totalsRowShown="0">
  <autoFilter ref="A1:B148" xr:uid="{4C72E08C-D949-4191-92DA-C57A9D61C849}"/>
  <tableColumns count="2">
    <tableColumn id="1" xr3:uid="{75269B5A-3D87-481A-B268-11F1C9227354}" uniqueName="1" name="job_id" queryTableFieldId="1"/>
    <tableColumn id="2" xr3:uid="{E6721EE9-A9CA-4647-97E9-30C2BF839BCD}" uniqueName="2" name="skill_lists.1" queryTableFieldId="2" dataDxfId="8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6BA153-153D-4E80-B521-5B448C33B3F9}" name="job_postings" displayName="job_postings" ref="A1:AD51" tableType="queryTable" totalsRowShown="0">
  <autoFilter ref="A1:AD51" xr:uid="{F26BA153-153D-4E80-B521-5B448C33B3F9}"/>
  <tableColumns count="30">
    <tableColumn id="1" xr3:uid="{04E45118-9E75-4997-9303-70F4C47EB294}" uniqueName="1" name="job_id" queryTableFieldId="1"/>
    <tableColumn id="2" xr3:uid="{0F91C45C-05DB-4BAD-B172-94AD8C585B59}" uniqueName="2" name="skill_list.job_id" queryTableFieldId="30"/>
    <tableColumn id="3" xr3:uid="{87B33FE0-B898-41F5-9804-339A3DBF3709}" uniqueName="3" name="skill_list.company_id" queryTableFieldId="31"/>
    <tableColumn id="4" xr3:uid="{7C064F40-63B3-4EA0-9280-B68ED4FF9148}" uniqueName="4" name="skill_list.job_title" queryTableFieldId="32" dataDxfId="84"/>
    <tableColumn id="5" xr3:uid="{0ECAB364-14A8-4FD4-8049-C47E710CC496}" uniqueName="5" name="skill_list.job_description" queryTableFieldId="33" dataDxfId="83"/>
    <tableColumn id="6" xr3:uid="{65389343-EE4E-45E2-AC04-AD83FCDBD99B}" uniqueName="6" name="skill_list.salary_min" queryTableFieldId="34"/>
    <tableColumn id="7" xr3:uid="{3B448165-1C45-4AFF-A28E-0C895746EE11}" uniqueName="7" name="skill_list.salary_max" queryTableFieldId="35"/>
    <tableColumn id="8" xr3:uid="{CFF2946F-B89A-4EC6-9ADF-4F182C8BADFF}" uniqueName="8" name="skill_list.salary_currency" queryTableFieldId="36" dataDxfId="82"/>
    <tableColumn id="9" xr3:uid="{EB8445C8-6149-431A-A06B-B9087EEFCDA4}" uniqueName="9" name="skill_list.job_location" queryTableFieldId="37" dataDxfId="81"/>
    <tableColumn id="10" xr3:uid="{FDF2382C-A17D-4709-A846-02A96D3D1EAF}" uniqueName="10" name="skill_list.job_type" queryTableFieldId="38" dataDxfId="80"/>
    <tableColumn id="11" xr3:uid="{D2663CA0-CADE-4293-B613-EB53875029D3}" uniqueName="11" name="skill_list.experience_level" queryTableFieldId="39" dataDxfId="79"/>
    <tableColumn id="12" xr3:uid="{5E9992EE-986A-4991-9A68-D9EB4A632C63}" uniqueName="12" name="skill_list.application_deadline" queryTableFieldId="40" dataDxfId="78"/>
    <tableColumn id="13" xr3:uid="{4B1F4B59-0C59-4BC1-898C-380147E114E0}" uniqueName="13" name="skill_list.posting_date" queryTableFieldId="41" dataDxfId="77"/>
    <tableColumn id="14" xr3:uid="{C2681BE2-AFE1-4F07-8413-C11A21017CB0}" uniqueName="14" name="skill_list.is_active" queryTableFieldId="42" dataDxfId="76"/>
    <tableColumn id="15" xr3:uid="{156CDC3D-20FC-4178-893A-F597442B7440}" uniqueName="15" name="skill_list.applications.application_id" queryTableFieldId="43"/>
    <tableColumn id="16" xr3:uid="{E8FE4D5E-7354-430E-9024-EC51EB85C0D7}" uniqueName="16" name="skill_list.applications.applicant_name" queryTableFieldId="44" dataDxfId="75"/>
    <tableColumn id="17" xr3:uid="{567CF2D0-8E16-4C9F-96C8-944595283F27}" uniqueName="17" name="skill_list.applications.applicant_email" queryTableFieldId="45" dataDxfId="74"/>
    <tableColumn id="18" xr3:uid="{2A26AEB8-E0A5-45E6-92E8-7085C714F19D}" uniqueName="18" name="skill_list.applications.application_date" queryTableFieldId="46" dataDxfId="73"/>
    <tableColumn id="19" xr3:uid="{07200403-8B62-4F4A-BBDE-9BD4F4D1765F}" uniqueName="19" name="skill_list.applications.resume_file_path" queryTableFieldId="47" dataDxfId="72"/>
    <tableColumn id="20" xr3:uid="{8DF44601-F375-4DE7-9558-F30D9809BF1A}" uniqueName="20" name="skill_list.applications.cover_letter_text" queryTableFieldId="48" dataDxfId="71"/>
    <tableColumn id="21" xr3:uid="{B5A0AEFE-7B54-4EF1-AFB6-4D5D4B5A25AF}" uniqueName="21" name="skill_list.applications.application_status" queryTableFieldId="49" dataDxfId="70"/>
    <tableColumn id="22" xr3:uid="{4E0F151F-D008-4C79-90AE-1C6526DE8A38}" uniqueName="22" name="skill_list.applications.status_updated_date" queryTableFieldId="50" dataDxfId="69"/>
    <tableColumn id="23" xr3:uid="{5364056F-1D81-4727-8087-9891E5B5F8FD}" uniqueName="23" name="skill_list.companies.company_id" queryTableFieldId="51"/>
    <tableColumn id="24" xr3:uid="{496D36C5-BFA7-473E-A1D7-AAA7169B8363}" uniqueName="24" name="skill_list.companies.company_name" queryTableFieldId="52" dataDxfId="68"/>
    <tableColumn id="25" xr3:uid="{A724882D-F1F3-487F-B3C7-66CA7ED60336}" uniqueName="25" name="skill_list.companies.industry" queryTableFieldId="53" dataDxfId="67"/>
    <tableColumn id="26" xr3:uid="{E245ACD8-9D7B-4451-A6F4-0506E3DDB983}" uniqueName="26" name="skill_list.companies.company_size" queryTableFieldId="54" dataDxfId="66"/>
    <tableColumn id="27" xr3:uid="{3252214C-D21E-4A58-A8CD-7FAE52FD9875}" uniqueName="27" name="skill_list.companies.headquarters_location" queryTableFieldId="55" dataDxfId="65"/>
    <tableColumn id="28" xr3:uid="{CFC16863-04B0-47C3-97F8-79D5B4033049}" uniqueName="28" name="skill_list.companies.website" queryTableFieldId="56" dataDxfId="64"/>
    <tableColumn id="29" xr3:uid="{F240FC87-0DB6-474E-A913-E836E7CCE135}" uniqueName="29" name="skill_list.companies.created_date" queryTableFieldId="57" dataDxfId="63"/>
    <tableColumn id="30" xr3:uid="{A49657CE-31AA-47EC-AC8F-8F9495D996F8}" uniqueName="30" name="skill_lists" queryTableFieldId="5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CBEF87-9C03-469E-B5A6-73510C32A8DA}" name="applications" displayName="applications" ref="A1:I51" tableType="queryTable" totalsRowShown="0">
  <autoFilter ref="A1:I51" xr:uid="{A1CBEF87-9C03-469E-B5A6-73510C32A8DA}"/>
  <tableColumns count="9">
    <tableColumn id="1" xr3:uid="{934574CF-0324-43E4-B699-812B4607B4A6}" uniqueName="1" name="application_id" queryTableFieldId="1"/>
    <tableColumn id="2" xr3:uid="{863D8D59-C35C-4AFE-91E1-DEFC4E237EAE}" uniqueName="2" name="job_id" queryTableFieldId="2"/>
    <tableColumn id="3" xr3:uid="{A420047F-7043-4607-B9CC-1307BB81F109}" uniqueName="3" name="applicant_name" queryTableFieldId="3" dataDxfId="62"/>
    <tableColumn id="4" xr3:uid="{E597B202-11EA-45C9-A84C-98312901C394}" uniqueName="4" name="applicant_email" queryTableFieldId="4" dataDxfId="61"/>
    <tableColumn id="5" xr3:uid="{A9847F29-E027-4A36-9E29-A6F1C4F6218C}" uniqueName="5" name="application_date" queryTableFieldId="5" dataDxfId="60"/>
    <tableColumn id="6" xr3:uid="{C5F79A0E-9572-4825-A5FF-147C12E70E50}" uniqueName="6" name="resume_file_path" queryTableFieldId="6" dataDxfId="59"/>
    <tableColumn id="7" xr3:uid="{F9CF0224-DDB8-4AC8-BF5C-B871826D925B}" uniqueName="7" name="cover_letter_text" queryTableFieldId="7" dataDxfId="58"/>
    <tableColumn id="8" xr3:uid="{D7C1C431-B278-4AA9-ABF9-8593D037D48D}" uniqueName="8" name="application_status" queryTableFieldId="8" dataDxfId="57"/>
    <tableColumn id="9" xr3:uid="{BE05EC43-8DAF-4FAC-86B8-DAB3E3FC9144}" uniqueName="9" name="status_updated_date" queryTableFieldId="9" dataDxfId="5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876D7D-D730-41A0-8607-BA8D9F8DFD16}" name="companies" displayName="companies" ref="A1:G53" tableType="queryTable" totalsRowShown="0">
  <autoFilter ref="A1:G53" xr:uid="{E7876D7D-D730-41A0-8607-BA8D9F8DFD16}"/>
  <tableColumns count="7">
    <tableColumn id="1" xr3:uid="{71474D56-0C6D-4476-B5AB-B95F5EB51566}" uniqueName="1" name="company_id" queryTableFieldId="1"/>
    <tableColumn id="2" xr3:uid="{BDC6F1BF-7EDC-4E5F-9393-BA2EB1822422}" uniqueName="2" name="company_name" queryTableFieldId="2" dataDxfId="55"/>
    <tableColumn id="3" xr3:uid="{6657C0E3-E2B5-407B-A358-BDA70C468DF0}" uniqueName="3" name="industry" queryTableFieldId="3" dataDxfId="54"/>
    <tableColumn id="4" xr3:uid="{87B21373-FFD3-441A-9D0E-0972E7C335EC}" uniqueName="4" name="company_size" queryTableFieldId="4" dataDxfId="53"/>
    <tableColumn id="5" xr3:uid="{9703639F-03DF-4B9E-ACDF-7B6C19CF47A1}" uniqueName="5" name="headquarters_location" queryTableFieldId="5" dataDxfId="52"/>
    <tableColumn id="6" xr3:uid="{CEF17CA3-B914-493F-992E-ABB4A0D3BA58}" uniqueName="6" name="website" queryTableFieldId="6" dataDxfId="51"/>
    <tableColumn id="7" xr3:uid="{2791AB20-B542-439D-9471-71EC41F025C9}" uniqueName="7" name="created_date" queryTableFieldId="7" dataDxfId="5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D523-EF42-4D40-84B1-FBA87679D4C7}">
  <dimension ref="A1:C26"/>
  <sheetViews>
    <sheetView workbookViewId="0">
      <selection activeCell="I42" sqref="I42"/>
    </sheetView>
  </sheetViews>
  <sheetFormatPr defaultRowHeight="13.8"/>
  <cols>
    <col min="1" max="1" width="9.19921875" bestFit="1" customWidth="1"/>
    <col min="2" max="2" width="15.296875" bestFit="1" customWidth="1"/>
    <col min="3" max="3" width="15.19921875" bestFit="1" customWidth="1"/>
  </cols>
  <sheetData>
    <row r="1" spans="1:3">
      <c r="A1" t="s">
        <v>368</v>
      </c>
      <c r="B1" t="s">
        <v>369</v>
      </c>
      <c r="C1" t="s">
        <v>370</v>
      </c>
    </row>
    <row r="2" spans="1:3">
      <c r="A2">
        <v>1</v>
      </c>
      <c r="B2" t="s">
        <v>371</v>
      </c>
      <c r="C2" t="s">
        <v>372</v>
      </c>
    </row>
    <row r="3" spans="1:3">
      <c r="A3">
        <v>2</v>
      </c>
      <c r="B3" t="s">
        <v>373</v>
      </c>
      <c r="C3" t="s">
        <v>372</v>
      </c>
    </row>
    <row r="4" spans="1:3">
      <c r="A4">
        <v>3</v>
      </c>
      <c r="B4" t="s">
        <v>374</v>
      </c>
      <c r="C4" t="s">
        <v>372</v>
      </c>
    </row>
    <row r="5" spans="1:3">
      <c r="A5">
        <v>4</v>
      </c>
      <c r="B5" t="s">
        <v>375</v>
      </c>
      <c r="C5" t="s">
        <v>376</v>
      </c>
    </row>
    <row r="6" spans="1:3">
      <c r="A6">
        <v>5</v>
      </c>
      <c r="B6" t="s">
        <v>377</v>
      </c>
      <c r="C6" t="s">
        <v>376</v>
      </c>
    </row>
    <row r="7" spans="1:3">
      <c r="A7">
        <v>6</v>
      </c>
      <c r="B7" t="s">
        <v>378</v>
      </c>
      <c r="C7" t="s">
        <v>376</v>
      </c>
    </row>
    <row r="8" spans="1:3">
      <c r="A8">
        <v>7</v>
      </c>
      <c r="B8" t="s">
        <v>379</v>
      </c>
      <c r="C8" t="s">
        <v>380</v>
      </c>
    </row>
    <row r="9" spans="1:3">
      <c r="A9">
        <v>8</v>
      </c>
      <c r="B9" t="s">
        <v>381</v>
      </c>
      <c r="C9" t="s">
        <v>380</v>
      </c>
    </row>
    <row r="10" spans="1:3">
      <c r="A10">
        <v>9</v>
      </c>
      <c r="B10" t="s">
        <v>382</v>
      </c>
      <c r="C10" t="s">
        <v>380</v>
      </c>
    </row>
    <row r="11" spans="1:3">
      <c r="A11">
        <v>10</v>
      </c>
      <c r="B11" t="s">
        <v>383</v>
      </c>
      <c r="C11" t="s">
        <v>376</v>
      </c>
    </row>
    <row r="12" spans="1:3">
      <c r="A12">
        <v>11</v>
      </c>
      <c r="B12" t="s">
        <v>384</v>
      </c>
      <c r="C12" t="s">
        <v>380</v>
      </c>
    </row>
    <row r="13" spans="1:3">
      <c r="A13">
        <v>12</v>
      </c>
      <c r="B13" t="s">
        <v>385</v>
      </c>
      <c r="C13" t="s">
        <v>386</v>
      </c>
    </row>
    <row r="14" spans="1:3">
      <c r="A14">
        <v>13</v>
      </c>
      <c r="B14" t="s">
        <v>387</v>
      </c>
      <c r="C14" t="s">
        <v>386</v>
      </c>
    </row>
    <row r="15" spans="1:3">
      <c r="A15">
        <v>14</v>
      </c>
      <c r="B15" t="s">
        <v>388</v>
      </c>
      <c r="C15" t="s">
        <v>389</v>
      </c>
    </row>
    <row r="16" spans="1:3">
      <c r="A16">
        <v>15</v>
      </c>
      <c r="B16" t="s">
        <v>390</v>
      </c>
      <c r="C16" t="s">
        <v>372</v>
      </c>
    </row>
    <row r="17" spans="1:3">
      <c r="A17">
        <v>16</v>
      </c>
      <c r="B17" t="s">
        <v>391</v>
      </c>
      <c r="C17" t="s">
        <v>372</v>
      </c>
    </row>
    <row r="18" spans="1:3">
      <c r="A18">
        <v>17</v>
      </c>
      <c r="B18" t="s">
        <v>392</v>
      </c>
      <c r="C18" t="s">
        <v>372</v>
      </c>
    </row>
    <row r="19" spans="1:3">
      <c r="A19">
        <v>18</v>
      </c>
      <c r="B19" t="s">
        <v>393</v>
      </c>
      <c r="C19" t="s">
        <v>372</v>
      </c>
    </row>
    <row r="20" spans="1:3">
      <c r="A20">
        <v>19</v>
      </c>
      <c r="B20" t="s">
        <v>394</v>
      </c>
      <c r="C20" t="s">
        <v>372</v>
      </c>
    </row>
    <row r="21" spans="1:3">
      <c r="A21">
        <v>20</v>
      </c>
      <c r="B21" t="s">
        <v>395</v>
      </c>
      <c r="C21" t="s">
        <v>381</v>
      </c>
    </row>
    <row r="22" spans="1:3">
      <c r="A22">
        <v>21</v>
      </c>
      <c r="B22" t="s">
        <v>396</v>
      </c>
      <c r="C22" t="s">
        <v>381</v>
      </c>
    </row>
    <row r="23" spans="1:3">
      <c r="A23">
        <v>22</v>
      </c>
      <c r="B23" t="s">
        <v>397</v>
      </c>
      <c r="C23" t="s">
        <v>381</v>
      </c>
    </row>
    <row r="24" spans="1:3">
      <c r="A24">
        <v>23</v>
      </c>
      <c r="B24" t="s">
        <v>398</v>
      </c>
      <c r="C24" t="s">
        <v>399</v>
      </c>
    </row>
    <row r="25" spans="1:3">
      <c r="A25">
        <v>24</v>
      </c>
      <c r="B25" t="s">
        <v>400</v>
      </c>
      <c r="C25" t="s">
        <v>399</v>
      </c>
    </row>
    <row r="26" spans="1:3">
      <c r="A26">
        <v>25</v>
      </c>
      <c r="B26" t="s">
        <v>401</v>
      </c>
      <c r="C26" t="s">
        <v>372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213C8-984F-4284-B100-8642D3DB1826}">
  <dimension ref="A1:B148"/>
  <sheetViews>
    <sheetView workbookViewId="0">
      <selection activeCell="B42" sqref="B42"/>
    </sheetView>
  </sheetViews>
  <sheetFormatPr defaultRowHeight="13.8"/>
  <cols>
    <col min="1" max="1" width="8.296875" bestFit="1" customWidth="1"/>
    <col min="2" max="2" width="15.19921875" bestFit="1" customWidth="1"/>
  </cols>
  <sheetData>
    <row r="1" spans="1:2">
      <c r="A1" t="s">
        <v>1</v>
      </c>
      <c r="B1" t="s">
        <v>367</v>
      </c>
    </row>
    <row r="2" spans="1:2">
      <c r="A2">
        <v>1</v>
      </c>
      <c r="B2" t="s">
        <v>381</v>
      </c>
    </row>
    <row r="3" spans="1:2">
      <c r="A3">
        <v>1</v>
      </c>
      <c r="B3" t="s">
        <v>468</v>
      </c>
    </row>
    <row r="4" spans="1:2">
      <c r="A4">
        <v>1</v>
      </c>
      <c r="B4" t="s">
        <v>469</v>
      </c>
    </row>
    <row r="5" spans="1:2">
      <c r="A5">
        <v>2</v>
      </c>
      <c r="B5" t="s">
        <v>373</v>
      </c>
    </row>
    <row r="6" spans="1:2">
      <c r="A6">
        <v>2</v>
      </c>
      <c r="B6" t="s">
        <v>470</v>
      </c>
    </row>
    <row r="7" spans="1:2">
      <c r="A7">
        <v>2</v>
      </c>
      <c r="B7" t="s">
        <v>469</v>
      </c>
    </row>
    <row r="8" spans="1:2">
      <c r="A8">
        <v>3</v>
      </c>
      <c r="B8" t="s">
        <v>385</v>
      </c>
    </row>
    <row r="9" spans="1:2">
      <c r="A9">
        <v>3</v>
      </c>
      <c r="B9" t="s">
        <v>468</v>
      </c>
    </row>
    <row r="10" spans="1:2">
      <c r="A10">
        <v>3</v>
      </c>
      <c r="B10" t="s">
        <v>471</v>
      </c>
    </row>
    <row r="11" spans="1:2">
      <c r="A11">
        <v>4</v>
      </c>
      <c r="B11" t="s">
        <v>373</v>
      </c>
    </row>
    <row r="12" spans="1:2">
      <c r="A12">
        <v>4</v>
      </c>
      <c r="B12" t="s">
        <v>470</v>
      </c>
    </row>
    <row r="13" spans="1:2">
      <c r="A13">
        <v>4</v>
      </c>
      <c r="B13" t="s">
        <v>472</v>
      </c>
    </row>
    <row r="14" spans="1:2">
      <c r="A14">
        <v>5</v>
      </c>
      <c r="B14" t="s">
        <v>398</v>
      </c>
    </row>
    <row r="15" spans="1:2">
      <c r="A15">
        <v>5</v>
      </c>
      <c r="B15" t="s">
        <v>473</v>
      </c>
    </row>
    <row r="16" spans="1:2">
      <c r="A16">
        <v>5</v>
      </c>
      <c r="B16" t="s">
        <v>471</v>
      </c>
    </row>
    <row r="17" spans="1:2">
      <c r="A17">
        <v>6</v>
      </c>
      <c r="B17" t="s">
        <v>401</v>
      </c>
    </row>
    <row r="18" spans="1:2">
      <c r="A18">
        <v>6</v>
      </c>
      <c r="B18" t="s">
        <v>468</v>
      </c>
    </row>
    <row r="19" spans="1:2">
      <c r="A19">
        <v>7</v>
      </c>
      <c r="B19" t="s">
        <v>385</v>
      </c>
    </row>
    <row r="20" spans="1:2">
      <c r="A20">
        <v>7</v>
      </c>
      <c r="B20" t="s">
        <v>474</v>
      </c>
    </row>
    <row r="21" spans="1:2">
      <c r="A21">
        <v>7</v>
      </c>
      <c r="B21" t="s">
        <v>475</v>
      </c>
    </row>
    <row r="22" spans="1:2">
      <c r="A22">
        <v>8</v>
      </c>
      <c r="B22" t="s">
        <v>375</v>
      </c>
    </row>
    <row r="23" spans="1:2">
      <c r="A23">
        <v>8</v>
      </c>
      <c r="B23" t="s">
        <v>476</v>
      </c>
    </row>
    <row r="24" spans="1:2">
      <c r="A24">
        <v>8</v>
      </c>
      <c r="B24" t="s">
        <v>471</v>
      </c>
    </row>
    <row r="25" spans="1:2">
      <c r="A25">
        <v>9</v>
      </c>
      <c r="B25" t="s">
        <v>375</v>
      </c>
    </row>
    <row r="26" spans="1:2">
      <c r="A26">
        <v>9</v>
      </c>
      <c r="B26" t="s">
        <v>472</v>
      </c>
    </row>
    <row r="27" spans="1:2">
      <c r="A27">
        <v>10</v>
      </c>
      <c r="B27" t="s">
        <v>375</v>
      </c>
    </row>
    <row r="28" spans="1:2">
      <c r="A28">
        <v>10</v>
      </c>
      <c r="B28" t="s">
        <v>471</v>
      </c>
    </row>
    <row r="29" spans="1:2">
      <c r="A29">
        <v>11</v>
      </c>
      <c r="B29" t="s">
        <v>381</v>
      </c>
    </row>
    <row r="30" spans="1:2">
      <c r="A30">
        <v>11</v>
      </c>
      <c r="B30" t="s">
        <v>477</v>
      </c>
    </row>
    <row r="31" spans="1:2">
      <c r="A31">
        <v>11</v>
      </c>
      <c r="B31" t="s">
        <v>468</v>
      </c>
    </row>
    <row r="32" spans="1:2">
      <c r="A32">
        <v>12</v>
      </c>
      <c r="B32" t="s">
        <v>381</v>
      </c>
    </row>
    <row r="33" spans="1:2">
      <c r="A33">
        <v>12</v>
      </c>
      <c r="B33" t="s">
        <v>468</v>
      </c>
    </row>
    <row r="34" spans="1:2">
      <c r="A34">
        <v>12</v>
      </c>
      <c r="B34" t="s">
        <v>470</v>
      </c>
    </row>
    <row r="35" spans="1:2">
      <c r="A35">
        <v>13</v>
      </c>
      <c r="B35" t="s">
        <v>385</v>
      </c>
    </row>
    <row r="36" spans="1:2">
      <c r="A36">
        <v>13</v>
      </c>
      <c r="B36" t="s">
        <v>471</v>
      </c>
    </row>
    <row r="37" spans="1:2">
      <c r="A37">
        <v>13</v>
      </c>
      <c r="B37" t="s">
        <v>478</v>
      </c>
    </row>
    <row r="38" spans="1:2">
      <c r="A38">
        <v>14</v>
      </c>
      <c r="B38" t="s">
        <v>393</v>
      </c>
    </row>
    <row r="39" spans="1:2">
      <c r="A39">
        <v>14</v>
      </c>
      <c r="B39" t="s">
        <v>468</v>
      </c>
    </row>
    <row r="40" spans="1:2">
      <c r="A40">
        <v>14</v>
      </c>
      <c r="B40" t="s">
        <v>472</v>
      </c>
    </row>
    <row r="41" spans="1:2">
      <c r="A41">
        <v>15</v>
      </c>
      <c r="B41" t="s">
        <v>398</v>
      </c>
    </row>
    <row r="42" spans="1:2">
      <c r="A42">
        <v>15</v>
      </c>
      <c r="B42" t="s">
        <v>473</v>
      </c>
    </row>
    <row r="43" spans="1:2">
      <c r="A43">
        <v>15</v>
      </c>
      <c r="B43" t="s">
        <v>471</v>
      </c>
    </row>
    <row r="44" spans="1:2">
      <c r="A44">
        <v>16</v>
      </c>
      <c r="B44" t="s">
        <v>400</v>
      </c>
    </row>
    <row r="45" spans="1:2">
      <c r="A45">
        <v>16</v>
      </c>
      <c r="B45" t="s">
        <v>479</v>
      </c>
    </row>
    <row r="46" spans="1:2">
      <c r="A46">
        <v>16</v>
      </c>
      <c r="B46" t="s">
        <v>468</v>
      </c>
    </row>
    <row r="47" spans="1:2">
      <c r="A47">
        <v>17</v>
      </c>
      <c r="B47" t="s">
        <v>385</v>
      </c>
    </row>
    <row r="48" spans="1:2">
      <c r="A48">
        <v>17</v>
      </c>
      <c r="B48" t="s">
        <v>474</v>
      </c>
    </row>
    <row r="49" spans="1:2">
      <c r="A49">
        <v>17</v>
      </c>
      <c r="B49" t="s">
        <v>475</v>
      </c>
    </row>
    <row r="50" spans="1:2">
      <c r="A50">
        <v>18</v>
      </c>
      <c r="B50" t="s">
        <v>377</v>
      </c>
    </row>
    <row r="51" spans="1:2">
      <c r="A51">
        <v>18</v>
      </c>
      <c r="B51" t="s">
        <v>471</v>
      </c>
    </row>
    <row r="52" spans="1:2">
      <c r="A52">
        <v>18</v>
      </c>
      <c r="B52" t="s">
        <v>480</v>
      </c>
    </row>
    <row r="53" spans="1:2">
      <c r="A53">
        <v>19</v>
      </c>
      <c r="B53" t="s">
        <v>375</v>
      </c>
    </row>
    <row r="54" spans="1:2">
      <c r="A54">
        <v>19</v>
      </c>
      <c r="B54" t="s">
        <v>481</v>
      </c>
    </row>
    <row r="55" spans="1:2">
      <c r="A55">
        <v>19</v>
      </c>
      <c r="B55" t="s">
        <v>472</v>
      </c>
    </row>
    <row r="56" spans="1:2">
      <c r="A56">
        <v>20</v>
      </c>
      <c r="B56" t="s">
        <v>384</v>
      </c>
    </row>
    <row r="57" spans="1:2">
      <c r="A57">
        <v>20</v>
      </c>
      <c r="B57" t="s">
        <v>482</v>
      </c>
    </row>
    <row r="58" spans="1:2">
      <c r="A58">
        <v>20</v>
      </c>
      <c r="B58" t="s">
        <v>471</v>
      </c>
    </row>
    <row r="59" spans="1:2">
      <c r="A59">
        <v>21</v>
      </c>
      <c r="B59" t="s">
        <v>381</v>
      </c>
    </row>
    <row r="60" spans="1:2">
      <c r="A60">
        <v>21</v>
      </c>
      <c r="B60" t="s">
        <v>477</v>
      </c>
    </row>
    <row r="61" spans="1:2">
      <c r="A61">
        <v>21</v>
      </c>
      <c r="B61" t="s">
        <v>468</v>
      </c>
    </row>
    <row r="62" spans="1:2">
      <c r="A62">
        <v>22</v>
      </c>
      <c r="B62" t="s">
        <v>381</v>
      </c>
    </row>
    <row r="63" spans="1:2">
      <c r="A63">
        <v>22</v>
      </c>
      <c r="B63" t="s">
        <v>468</v>
      </c>
    </row>
    <row r="64" spans="1:2">
      <c r="A64">
        <v>22</v>
      </c>
      <c r="B64" t="s">
        <v>470</v>
      </c>
    </row>
    <row r="65" spans="1:2">
      <c r="A65">
        <v>23</v>
      </c>
      <c r="B65" t="s">
        <v>385</v>
      </c>
    </row>
    <row r="66" spans="1:2">
      <c r="A66">
        <v>23</v>
      </c>
      <c r="B66" t="s">
        <v>471</v>
      </c>
    </row>
    <row r="67" spans="1:2">
      <c r="A67">
        <v>23</v>
      </c>
      <c r="B67" t="s">
        <v>478</v>
      </c>
    </row>
    <row r="68" spans="1:2">
      <c r="A68">
        <v>24</v>
      </c>
      <c r="B68" t="s">
        <v>393</v>
      </c>
    </row>
    <row r="69" spans="1:2">
      <c r="A69">
        <v>24</v>
      </c>
      <c r="B69" t="s">
        <v>468</v>
      </c>
    </row>
    <row r="70" spans="1:2">
      <c r="A70">
        <v>24</v>
      </c>
      <c r="B70" t="s">
        <v>472</v>
      </c>
    </row>
    <row r="71" spans="1:2">
      <c r="A71">
        <v>25</v>
      </c>
      <c r="B71" t="s">
        <v>398</v>
      </c>
    </row>
    <row r="72" spans="1:2">
      <c r="A72">
        <v>25</v>
      </c>
      <c r="B72" t="s">
        <v>483</v>
      </c>
    </row>
    <row r="73" spans="1:2">
      <c r="A73">
        <v>25</v>
      </c>
      <c r="B73" t="s">
        <v>471</v>
      </c>
    </row>
    <row r="74" spans="1:2">
      <c r="A74">
        <v>26</v>
      </c>
      <c r="B74" t="s">
        <v>400</v>
      </c>
    </row>
    <row r="75" spans="1:2">
      <c r="A75">
        <v>26</v>
      </c>
      <c r="B75" t="s">
        <v>479</v>
      </c>
    </row>
    <row r="76" spans="1:2">
      <c r="A76">
        <v>26</v>
      </c>
      <c r="B76" t="s">
        <v>468</v>
      </c>
    </row>
    <row r="77" spans="1:2">
      <c r="A77">
        <v>27</v>
      </c>
      <c r="B77" t="s">
        <v>385</v>
      </c>
    </row>
    <row r="78" spans="1:2">
      <c r="A78">
        <v>27</v>
      </c>
      <c r="B78" t="s">
        <v>474</v>
      </c>
    </row>
    <row r="79" spans="1:2">
      <c r="A79">
        <v>27</v>
      </c>
      <c r="B79" t="s">
        <v>475</v>
      </c>
    </row>
    <row r="80" spans="1:2">
      <c r="A80">
        <v>28</v>
      </c>
      <c r="B80" t="s">
        <v>377</v>
      </c>
    </row>
    <row r="81" spans="1:2">
      <c r="A81">
        <v>28</v>
      </c>
      <c r="B81" t="s">
        <v>471</v>
      </c>
    </row>
    <row r="82" spans="1:2">
      <c r="A82">
        <v>28</v>
      </c>
      <c r="B82" t="s">
        <v>472</v>
      </c>
    </row>
    <row r="83" spans="1:2">
      <c r="A83">
        <v>29</v>
      </c>
      <c r="B83" t="s">
        <v>375</v>
      </c>
    </row>
    <row r="84" spans="1:2">
      <c r="A84">
        <v>29</v>
      </c>
      <c r="B84" t="s">
        <v>481</v>
      </c>
    </row>
    <row r="85" spans="1:2">
      <c r="A85">
        <v>29</v>
      </c>
      <c r="B85" t="s">
        <v>472</v>
      </c>
    </row>
    <row r="86" spans="1:2">
      <c r="A86">
        <v>30</v>
      </c>
      <c r="B86" t="s">
        <v>384</v>
      </c>
    </row>
    <row r="87" spans="1:2">
      <c r="A87">
        <v>30</v>
      </c>
      <c r="B87" t="s">
        <v>482</v>
      </c>
    </row>
    <row r="88" spans="1:2">
      <c r="A88">
        <v>30</v>
      </c>
      <c r="B88" t="s">
        <v>471</v>
      </c>
    </row>
    <row r="89" spans="1:2">
      <c r="A89">
        <v>31</v>
      </c>
      <c r="B89" t="s">
        <v>381</v>
      </c>
    </row>
    <row r="90" spans="1:2">
      <c r="A90">
        <v>31</v>
      </c>
      <c r="B90" t="s">
        <v>468</v>
      </c>
    </row>
    <row r="91" spans="1:2">
      <c r="A91">
        <v>31</v>
      </c>
      <c r="B91" t="s">
        <v>469</v>
      </c>
    </row>
    <row r="92" spans="1:2">
      <c r="A92">
        <v>32</v>
      </c>
      <c r="B92" t="s">
        <v>381</v>
      </c>
    </row>
    <row r="93" spans="1:2">
      <c r="A93">
        <v>32</v>
      </c>
      <c r="B93" t="s">
        <v>468</v>
      </c>
    </row>
    <row r="94" spans="1:2">
      <c r="A94">
        <v>32</v>
      </c>
      <c r="B94" t="s">
        <v>470</v>
      </c>
    </row>
    <row r="95" spans="1:2">
      <c r="A95">
        <v>33</v>
      </c>
      <c r="B95" t="s">
        <v>385</v>
      </c>
    </row>
    <row r="96" spans="1:2">
      <c r="A96">
        <v>33</v>
      </c>
      <c r="B96" t="s">
        <v>471</v>
      </c>
    </row>
    <row r="97" spans="1:2">
      <c r="A97">
        <v>33</v>
      </c>
      <c r="B97" t="s">
        <v>478</v>
      </c>
    </row>
    <row r="98" spans="1:2">
      <c r="A98">
        <v>34</v>
      </c>
      <c r="B98" t="s">
        <v>393</v>
      </c>
    </row>
    <row r="99" spans="1:2">
      <c r="A99">
        <v>34</v>
      </c>
      <c r="B99" t="s">
        <v>468</v>
      </c>
    </row>
    <row r="100" spans="1:2">
      <c r="A100">
        <v>34</v>
      </c>
      <c r="B100" t="s">
        <v>472</v>
      </c>
    </row>
    <row r="101" spans="1:2">
      <c r="A101">
        <v>35</v>
      </c>
      <c r="B101" t="s">
        <v>398</v>
      </c>
    </row>
    <row r="102" spans="1:2">
      <c r="A102">
        <v>35</v>
      </c>
      <c r="B102" t="s">
        <v>471</v>
      </c>
    </row>
    <row r="103" spans="1:2">
      <c r="A103">
        <v>35</v>
      </c>
      <c r="B103" t="s">
        <v>484</v>
      </c>
    </row>
    <row r="104" spans="1:2">
      <c r="A104">
        <v>36</v>
      </c>
      <c r="B104" t="s">
        <v>400</v>
      </c>
    </row>
    <row r="105" spans="1:2">
      <c r="A105">
        <v>36</v>
      </c>
      <c r="B105" t="s">
        <v>479</v>
      </c>
    </row>
    <row r="106" spans="1:2">
      <c r="A106">
        <v>36</v>
      </c>
      <c r="B106" t="s">
        <v>468</v>
      </c>
    </row>
    <row r="107" spans="1:2">
      <c r="A107">
        <v>37</v>
      </c>
      <c r="B107" t="s">
        <v>385</v>
      </c>
    </row>
    <row r="108" spans="1:2">
      <c r="A108">
        <v>37</v>
      </c>
      <c r="B108" t="s">
        <v>474</v>
      </c>
    </row>
    <row r="109" spans="1:2">
      <c r="A109">
        <v>37</v>
      </c>
      <c r="B109" t="s">
        <v>475</v>
      </c>
    </row>
    <row r="110" spans="1:2">
      <c r="A110">
        <v>38</v>
      </c>
      <c r="B110" t="s">
        <v>377</v>
      </c>
    </row>
    <row r="111" spans="1:2">
      <c r="A111">
        <v>38</v>
      </c>
      <c r="B111" t="s">
        <v>471</v>
      </c>
    </row>
    <row r="112" spans="1:2">
      <c r="A112">
        <v>38</v>
      </c>
      <c r="B112" t="s">
        <v>472</v>
      </c>
    </row>
    <row r="113" spans="1:2">
      <c r="A113">
        <v>39</v>
      </c>
      <c r="B113" t="s">
        <v>375</v>
      </c>
    </row>
    <row r="114" spans="1:2">
      <c r="A114">
        <v>39</v>
      </c>
      <c r="B114" t="s">
        <v>481</v>
      </c>
    </row>
    <row r="115" spans="1:2">
      <c r="A115">
        <v>39</v>
      </c>
      <c r="B115" t="s">
        <v>472</v>
      </c>
    </row>
    <row r="116" spans="1:2">
      <c r="A116">
        <v>40</v>
      </c>
      <c r="B116" t="s">
        <v>384</v>
      </c>
    </row>
    <row r="117" spans="1:2">
      <c r="A117">
        <v>40</v>
      </c>
      <c r="B117" t="s">
        <v>482</v>
      </c>
    </row>
    <row r="118" spans="1:2">
      <c r="A118">
        <v>40</v>
      </c>
      <c r="B118" t="s">
        <v>471</v>
      </c>
    </row>
    <row r="119" spans="1:2">
      <c r="A119">
        <v>41</v>
      </c>
      <c r="B119" t="s">
        <v>381</v>
      </c>
    </row>
    <row r="120" spans="1:2">
      <c r="A120">
        <v>41</v>
      </c>
      <c r="B120" t="s">
        <v>477</v>
      </c>
    </row>
    <row r="121" spans="1:2">
      <c r="A121">
        <v>41</v>
      </c>
      <c r="B121" t="s">
        <v>468</v>
      </c>
    </row>
    <row r="122" spans="1:2">
      <c r="A122">
        <v>42</v>
      </c>
      <c r="B122" t="s">
        <v>381</v>
      </c>
    </row>
    <row r="123" spans="1:2">
      <c r="A123">
        <v>42</v>
      </c>
      <c r="B123" t="s">
        <v>468</v>
      </c>
    </row>
    <row r="124" spans="1:2">
      <c r="A124">
        <v>42</v>
      </c>
      <c r="B124" t="s">
        <v>470</v>
      </c>
    </row>
    <row r="125" spans="1:2">
      <c r="A125">
        <v>43</v>
      </c>
      <c r="B125" t="s">
        <v>385</v>
      </c>
    </row>
    <row r="126" spans="1:2">
      <c r="A126">
        <v>43</v>
      </c>
      <c r="B126" t="s">
        <v>471</v>
      </c>
    </row>
    <row r="127" spans="1:2">
      <c r="A127">
        <v>43</v>
      </c>
      <c r="B127" t="s">
        <v>478</v>
      </c>
    </row>
    <row r="128" spans="1:2">
      <c r="A128">
        <v>44</v>
      </c>
      <c r="B128" t="s">
        <v>393</v>
      </c>
    </row>
    <row r="129" spans="1:2">
      <c r="A129">
        <v>44</v>
      </c>
      <c r="B129" t="s">
        <v>468</v>
      </c>
    </row>
    <row r="130" spans="1:2">
      <c r="A130">
        <v>44</v>
      </c>
      <c r="B130" t="s">
        <v>472</v>
      </c>
    </row>
    <row r="131" spans="1:2">
      <c r="A131">
        <v>45</v>
      </c>
      <c r="B131" t="s">
        <v>398</v>
      </c>
    </row>
    <row r="132" spans="1:2">
      <c r="A132">
        <v>45</v>
      </c>
      <c r="B132" t="s">
        <v>473</v>
      </c>
    </row>
    <row r="133" spans="1:2">
      <c r="A133">
        <v>45</v>
      </c>
      <c r="B133" t="s">
        <v>471</v>
      </c>
    </row>
    <row r="134" spans="1:2">
      <c r="A134">
        <v>46</v>
      </c>
      <c r="B134" t="s">
        <v>400</v>
      </c>
    </row>
    <row r="135" spans="1:2">
      <c r="A135">
        <v>46</v>
      </c>
      <c r="B135" t="s">
        <v>479</v>
      </c>
    </row>
    <row r="136" spans="1:2">
      <c r="A136">
        <v>46</v>
      </c>
      <c r="B136" t="s">
        <v>468</v>
      </c>
    </row>
    <row r="137" spans="1:2">
      <c r="A137">
        <v>47</v>
      </c>
      <c r="B137" t="s">
        <v>385</v>
      </c>
    </row>
    <row r="138" spans="1:2">
      <c r="A138">
        <v>47</v>
      </c>
      <c r="B138" t="s">
        <v>474</v>
      </c>
    </row>
    <row r="139" spans="1:2">
      <c r="A139">
        <v>47</v>
      </c>
      <c r="B139" t="s">
        <v>475</v>
      </c>
    </row>
    <row r="140" spans="1:2">
      <c r="A140">
        <v>48</v>
      </c>
      <c r="B140" t="s">
        <v>377</v>
      </c>
    </row>
    <row r="141" spans="1:2">
      <c r="A141">
        <v>48</v>
      </c>
      <c r="B141" t="s">
        <v>471</v>
      </c>
    </row>
    <row r="142" spans="1:2">
      <c r="A142">
        <v>48</v>
      </c>
      <c r="B142" t="s">
        <v>480</v>
      </c>
    </row>
    <row r="143" spans="1:2">
      <c r="A143">
        <v>49</v>
      </c>
      <c r="B143" t="s">
        <v>375</v>
      </c>
    </row>
    <row r="144" spans="1:2">
      <c r="A144">
        <v>49</v>
      </c>
      <c r="B144" t="s">
        <v>481</v>
      </c>
    </row>
    <row r="145" spans="1:2">
      <c r="A145">
        <v>49</v>
      </c>
      <c r="B145" t="s">
        <v>472</v>
      </c>
    </row>
    <row r="146" spans="1:2">
      <c r="A146">
        <v>50</v>
      </c>
      <c r="B146" t="s">
        <v>384</v>
      </c>
    </row>
    <row r="147" spans="1:2">
      <c r="A147">
        <v>50</v>
      </c>
      <c r="B147" t="s">
        <v>482</v>
      </c>
    </row>
    <row r="148" spans="1:2">
      <c r="A148">
        <v>50</v>
      </c>
      <c r="B148" t="s">
        <v>471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FF640-8CA8-4FB8-AB52-EFD024C2F1E7}">
  <dimension ref="A1:AD51"/>
  <sheetViews>
    <sheetView topLeftCell="Z25" workbookViewId="0">
      <selection activeCell="I42" sqref="I42"/>
    </sheetView>
  </sheetViews>
  <sheetFormatPr defaultRowHeight="13.8"/>
  <cols>
    <col min="1" max="1" width="8.296875" bestFit="1" customWidth="1"/>
    <col min="2" max="2" width="16" hidden="1" customWidth="1"/>
    <col min="3" max="3" width="21.09765625" bestFit="1" customWidth="1"/>
    <col min="4" max="4" width="22.796875" bestFit="1" customWidth="1"/>
    <col min="5" max="5" width="43" bestFit="1" customWidth="1"/>
    <col min="6" max="6" width="20" bestFit="1" customWidth="1"/>
    <col min="7" max="7" width="20.296875" bestFit="1" customWidth="1"/>
    <col min="8" max="8" width="24.09765625" bestFit="1" customWidth="1"/>
    <col min="9" max="9" width="22" bestFit="1" customWidth="1"/>
    <col min="10" max="10" width="18" bestFit="1" customWidth="1"/>
    <col min="11" max="11" width="25.09765625" bestFit="1" customWidth="1"/>
    <col min="12" max="12" width="28.8984375" bestFit="1" customWidth="1"/>
    <col min="13" max="13" width="21.69921875" bestFit="1" customWidth="1"/>
    <col min="14" max="14" width="18.19921875" bestFit="1" customWidth="1"/>
    <col min="15" max="15" width="34.296875" bestFit="1" customWidth="1"/>
    <col min="16" max="16" width="35.8984375" bestFit="1" customWidth="1"/>
    <col min="17" max="17" width="36" bestFit="1" customWidth="1"/>
    <col min="18" max="18" width="36.59765625" bestFit="1" customWidth="1"/>
    <col min="19" max="19" width="36.69921875" bestFit="1" customWidth="1"/>
    <col min="20" max="20" width="42.09765625" bestFit="1" customWidth="1"/>
    <col min="21" max="21" width="37.8984375" bestFit="1" customWidth="1"/>
    <col min="22" max="22" width="40" bestFit="1" customWidth="1"/>
    <col min="23" max="23" width="31.09765625" bestFit="1" customWidth="1"/>
    <col min="24" max="24" width="34.19921875" bestFit="1" customWidth="1"/>
    <col min="25" max="25" width="27.796875" bestFit="1" customWidth="1"/>
    <col min="26" max="26" width="32.8984375" bestFit="1" customWidth="1"/>
    <col min="27" max="27" width="40" bestFit="1" customWidth="1"/>
    <col min="28" max="28" width="29.19921875" bestFit="1" customWidth="1"/>
    <col min="29" max="29" width="32.09765625" bestFit="1" customWidth="1"/>
    <col min="30" max="30" width="33.8984375" bestFit="1" customWidth="1"/>
    <col min="31" max="31" width="13.296875" bestFit="1" customWidth="1"/>
    <col min="32" max="32" width="22.796875" bestFit="1" customWidth="1"/>
    <col min="33" max="33" width="40.796875" bestFit="1" customWidth="1"/>
    <col min="34" max="34" width="12.19921875" bestFit="1" customWidth="1"/>
    <col min="35" max="35" width="12.59765625" bestFit="1" customWidth="1"/>
    <col min="36" max="36" width="16.296875" bestFit="1" customWidth="1"/>
    <col min="37" max="37" width="22" bestFit="1" customWidth="1"/>
    <col min="38" max="38" width="10.296875" bestFit="1" customWidth="1"/>
    <col min="39" max="39" width="17.296875" bestFit="1" customWidth="1"/>
    <col min="40" max="40" width="21.09765625" bestFit="1" customWidth="1"/>
    <col min="41" max="41" width="13.8984375" bestFit="1" customWidth="1"/>
    <col min="42" max="42" width="10.59765625" bestFit="1" customWidth="1"/>
    <col min="43" max="43" width="26.59765625" bestFit="1" customWidth="1"/>
    <col min="44" max="44" width="28.09765625" bestFit="1" customWidth="1"/>
    <col min="45" max="45" width="28.19921875" bestFit="1" customWidth="1"/>
    <col min="46" max="46" width="28.796875" bestFit="1" customWidth="1"/>
    <col min="47" max="47" width="28.8984375" bestFit="1" customWidth="1"/>
    <col min="48" max="48" width="42.09765625" bestFit="1" customWidth="1"/>
    <col min="49" max="49" width="30.09765625" bestFit="1" customWidth="1"/>
    <col min="50" max="50" width="32.19921875" bestFit="1" customWidth="1"/>
    <col min="51" max="51" width="23.296875" bestFit="1" customWidth="1"/>
    <col min="52" max="52" width="26.3984375" bestFit="1" customWidth="1"/>
    <col min="53" max="53" width="20" bestFit="1" customWidth="1"/>
    <col min="54" max="54" width="25.09765625" bestFit="1" customWidth="1"/>
    <col min="55" max="55" width="32.19921875" bestFit="1" customWidth="1"/>
    <col min="56" max="56" width="29.19921875" bestFit="1" customWidth="1"/>
    <col min="57" max="57" width="24.296875" bestFit="1" customWidth="1"/>
    <col min="58" max="58" width="19.796875" bestFit="1" customWidth="1"/>
  </cols>
  <sheetData>
    <row r="1" spans="1:30">
      <c r="A1" t="s">
        <v>1</v>
      </c>
      <c r="B1" t="s">
        <v>492</v>
      </c>
      <c r="C1" t="s">
        <v>493</v>
      </c>
      <c r="D1" t="s">
        <v>494</v>
      </c>
      <c r="E1" t="s">
        <v>495</v>
      </c>
      <c r="F1" t="s">
        <v>496</v>
      </c>
      <c r="G1" t="s">
        <v>497</v>
      </c>
      <c r="H1" t="s">
        <v>498</v>
      </c>
      <c r="I1" t="s">
        <v>499</v>
      </c>
      <c r="J1" t="s">
        <v>500</v>
      </c>
      <c r="K1" t="s">
        <v>501</v>
      </c>
      <c r="L1" t="s">
        <v>502</v>
      </c>
      <c r="M1" t="s">
        <v>503</v>
      </c>
      <c r="N1" t="s">
        <v>504</v>
      </c>
      <c r="O1" t="s">
        <v>505</v>
      </c>
      <c r="P1" t="s">
        <v>506</v>
      </c>
      <c r="Q1" t="s">
        <v>507</v>
      </c>
      <c r="R1" t="s">
        <v>508</v>
      </c>
      <c r="S1" t="s">
        <v>509</v>
      </c>
      <c r="T1" t="s">
        <v>510</v>
      </c>
      <c r="U1" t="s">
        <v>511</v>
      </c>
      <c r="V1" t="s">
        <v>512</v>
      </c>
      <c r="W1" t="s">
        <v>513</v>
      </c>
      <c r="X1" t="s">
        <v>514</v>
      </c>
      <c r="Y1" t="s">
        <v>515</v>
      </c>
      <c r="Z1" t="s">
        <v>516</v>
      </c>
      <c r="AA1" t="s">
        <v>517</v>
      </c>
      <c r="AB1" t="s">
        <v>518</v>
      </c>
      <c r="AC1" t="s">
        <v>519</v>
      </c>
      <c r="AD1" t="s">
        <v>520</v>
      </c>
    </row>
    <row r="2" spans="1:30">
      <c r="A2">
        <v>1</v>
      </c>
      <c r="B2">
        <v>1</v>
      </c>
      <c r="C2">
        <v>1</v>
      </c>
      <c r="D2" t="s">
        <v>402</v>
      </c>
      <c r="E2" t="s">
        <v>403</v>
      </c>
      <c r="F2">
        <v>1200</v>
      </c>
      <c r="G2">
        <v>2500</v>
      </c>
      <c r="H2" t="s">
        <v>404</v>
      </c>
      <c r="I2" t="s">
        <v>223</v>
      </c>
      <c r="J2" t="s">
        <v>405</v>
      </c>
      <c r="K2" t="s">
        <v>406</v>
      </c>
      <c r="L2" s="2">
        <v>45657</v>
      </c>
      <c r="M2" s="2">
        <v>45597</v>
      </c>
      <c r="N2" t="s">
        <v>407</v>
      </c>
      <c r="O2">
        <v>1</v>
      </c>
      <c r="P2" t="s">
        <v>9</v>
      </c>
      <c r="Q2" t="s">
        <v>10</v>
      </c>
      <c r="R2" s="1">
        <v>45601</v>
      </c>
      <c r="S2" t="s">
        <v>11</v>
      </c>
      <c r="T2" t="s">
        <v>12</v>
      </c>
      <c r="U2" t="s">
        <v>13</v>
      </c>
      <c r="V2" s="1">
        <v>45995.989292777776</v>
      </c>
      <c r="W2">
        <v>1</v>
      </c>
      <c r="X2" t="s">
        <v>220</v>
      </c>
      <c r="Y2" t="s">
        <v>221</v>
      </c>
      <c r="Z2" t="s">
        <v>222</v>
      </c>
      <c r="AA2" t="s">
        <v>223</v>
      </c>
      <c r="AB2" t="s">
        <v>224</v>
      </c>
      <c r="AC2" s="1">
        <v>44941</v>
      </c>
      <c r="AD2" t="s">
        <v>521</v>
      </c>
    </row>
    <row r="3" spans="1:30">
      <c r="A3">
        <v>2</v>
      </c>
      <c r="B3">
        <v>2</v>
      </c>
      <c r="C3">
        <v>2</v>
      </c>
      <c r="D3" t="s">
        <v>408</v>
      </c>
      <c r="E3" t="s">
        <v>409</v>
      </c>
      <c r="F3">
        <v>1100</v>
      </c>
      <c r="G3">
        <v>2200</v>
      </c>
      <c r="H3" t="s">
        <v>404</v>
      </c>
      <c r="I3" t="s">
        <v>223</v>
      </c>
      <c r="J3" t="s">
        <v>410</v>
      </c>
      <c r="K3" t="s">
        <v>406</v>
      </c>
      <c r="L3" s="2">
        <v>45651</v>
      </c>
      <c r="M3" s="2">
        <v>45598</v>
      </c>
      <c r="N3" t="s">
        <v>407</v>
      </c>
      <c r="O3">
        <v>2</v>
      </c>
      <c r="P3" t="s">
        <v>14</v>
      </c>
      <c r="Q3" t="s">
        <v>15</v>
      </c>
      <c r="R3" s="1">
        <v>45600</v>
      </c>
      <c r="S3" t="s">
        <v>16</v>
      </c>
      <c r="T3" t="s">
        <v>17</v>
      </c>
      <c r="U3" t="s">
        <v>18</v>
      </c>
      <c r="V3" s="1">
        <v>45995.989292777776</v>
      </c>
      <c r="W3">
        <v>2</v>
      </c>
      <c r="X3" t="s">
        <v>225</v>
      </c>
      <c r="Y3" t="s">
        <v>221</v>
      </c>
      <c r="Z3" t="s">
        <v>226</v>
      </c>
      <c r="AA3" t="s">
        <v>223</v>
      </c>
      <c r="AB3" t="s">
        <v>227</v>
      </c>
      <c r="AC3" s="1">
        <v>44967</v>
      </c>
      <c r="AD3" t="s">
        <v>522</v>
      </c>
    </row>
    <row r="4" spans="1:30">
      <c r="A4">
        <v>3</v>
      </c>
      <c r="B4">
        <v>3</v>
      </c>
      <c r="C4">
        <v>3</v>
      </c>
      <c r="D4" t="s">
        <v>411</v>
      </c>
      <c r="E4" t="s">
        <v>412</v>
      </c>
      <c r="F4">
        <v>1000</v>
      </c>
      <c r="G4">
        <v>2000</v>
      </c>
      <c r="H4" t="s">
        <v>404</v>
      </c>
      <c r="I4" t="s">
        <v>229</v>
      </c>
      <c r="J4" t="s">
        <v>405</v>
      </c>
      <c r="K4" t="s">
        <v>406</v>
      </c>
      <c r="L4" s="2">
        <v>45654</v>
      </c>
      <c r="M4" s="2">
        <v>45597</v>
      </c>
      <c r="N4" t="s">
        <v>407</v>
      </c>
      <c r="O4">
        <v>3</v>
      </c>
      <c r="P4" t="s">
        <v>19</v>
      </c>
      <c r="Q4" t="s">
        <v>20</v>
      </c>
      <c r="R4" s="1">
        <v>45602</v>
      </c>
      <c r="S4" t="s">
        <v>21</v>
      </c>
      <c r="T4" t="s">
        <v>22</v>
      </c>
      <c r="U4" t="s">
        <v>23</v>
      </c>
      <c r="V4" s="1">
        <v>45995.989292777776</v>
      </c>
      <c r="W4">
        <v>3</v>
      </c>
      <c r="X4" t="s">
        <v>228</v>
      </c>
      <c r="Y4" t="s">
        <v>221</v>
      </c>
      <c r="Z4" t="s">
        <v>222</v>
      </c>
      <c r="AA4" t="s">
        <v>229</v>
      </c>
      <c r="AB4" t="s">
        <v>230</v>
      </c>
      <c r="AC4" s="1">
        <v>44990</v>
      </c>
      <c r="AD4" t="s">
        <v>523</v>
      </c>
    </row>
    <row r="5" spans="1:30">
      <c r="A5">
        <v>4</v>
      </c>
      <c r="B5">
        <v>4</v>
      </c>
      <c r="C5">
        <v>4</v>
      </c>
      <c r="D5" t="s">
        <v>413</v>
      </c>
      <c r="E5" t="s">
        <v>414</v>
      </c>
      <c r="F5">
        <v>800</v>
      </c>
      <c r="G5">
        <v>1600</v>
      </c>
      <c r="H5" t="s">
        <v>404</v>
      </c>
      <c r="I5" t="s">
        <v>233</v>
      </c>
      <c r="J5" t="s">
        <v>415</v>
      </c>
      <c r="K5" t="s">
        <v>416</v>
      </c>
      <c r="L5" s="2">
        <v>45646</v>
      </c>
      <c r="M5" s="2">
        <v>45595</v>
      </c>
      <c r="N5" t="s">
        <v>407</v>
      </c>
      <c r="O5">
        <v>4</v>
      </c>
      <c r="P5" t="s">
        <v>24</v>
      </c>
      <c r="Q5" t="s">
        <v>25</v>
      </c>
      <c r="R5" s="1">
        <v>45596</v>
      </c>
      <c r="S5" t="s">
        <v>26</v>
      </c>
      <c r="T5" t="s">
        <v>27</v>
      </c>
      <c r="U5" t="s">
        <v>28</v>
      </c>
      <c r="V5" s="1">
        <v>45995.989292777776</v>
      </c>
      <c r="W5">
        <v>4</v>
      </c>
      <c r="X5" t="s">
        <v>231</v>
      </c>
      <c r="Y5" t="s">
        <v>221</v>
      </c>
      <c r="Z5" t="s">
        <v>232</v>
      </c>
      <c r="AA5" t="s">
        <v>233</v>
      </c>
      <c r="AB5" t="s">
        <v>234</v>
      </c>
      <c r="AC5" s="1">
        <v>45036</v>
      </c>
      <c r="AD5" t="s">
        <v>524</v>
      </c>
    </row>
    <row r="6" spans="1:30">
      <c r="A6">
        <v>5</v>
      </c>
      <c r="B6">
        <v>5</v>
      </c>
      <c r="C6">
        <v>5</v>
      </c>
      <c r="D6" t="s">
        <v>417</v>
      </c>
      <c r="E6" t="s">
        <v>418</v>
      </c>
      <c r="F6">
        <v>700</v>
      </c>
      <c r="G6">
        <v>1400</v>
      </c>
      <c r="H6" t="s">
        <v>404</v>
      </c>
      <c r="I6" t="s">
        <v>236</v>
      </c>
      <c r="J6" t="s">
        <v>405</v>
      </c>
      <c r="K6" t="s">
        <v>416</v>
      </c>
      <c r="L6" s="2">
        <v>45648</v>
      </c>
      <c r="M6" s="2">
        <v>45599</v>
      </c>
      <c r="N6" t="s">
        <v>407</v>
      </c>
      <c r="O6">
        <v>5</v>
      </c>
      <c r="P6" t="s">
        <v>29</v>
      </c>
      <c r="Q6" t="s">
        <v>30</v>
      </c>
      <c r="R6" s="1">
        <v>45603</v>
      </c>
      <c r="S6" t="s">
        <v>31</v>
      </c>
      <c r="T6" t="s">
        <v>32</v>
      </c>
      <c r="U6" t="s">
        <v>18</v>
      </c>
      <c r="V6" s="1">
        <v>45995.989292777776</v>
      </c>
      <c r="W6">
        <v>5</v>
      </c>
      <c r="X6" t="s">
        <v>235</v>
      </c>
      <c r="Y6" t="s">
        <v>221</v>
      </c>
      <c r="Z6" t="s">
        <v>232</v>
      </c>
      <c r="AA6" t="s">
        <v>236</v>
      </c>
      <c r="AB6" t="s">
        <v>237</v>
      </c>
      <c r="AC6" s="1">
        <v>45058</v>
      </c>
      <c r="AD6" t="s">
        <v>525</v>
      </c>
    </row>
    <row r="7" spans="1:30">
      <c r="A7">
        <v>6</v>
      </c>
      <c r="B7">
        <v>6</v>
      </c>
      <c r="C7">
        <v>6</v>
      </c>
      <c r="D7" t="s">
        <v>419</v>
      </c>
      <c r="E7" t="s">
        <v>420</v>
      </c>
      <c r="F7">
        <v>600</v>
      </c>
      <c r="G7">
        <v>1200</v>
      </c>
      <c r="H7" t="s">
        <v>404</v>
      </c>
      <c r="I7" t="s">
        <v>239</v>
      </c>
      <c r="J7" t="s">
        <v>410</v>
      </c>
      <c r="K7" t="s">
        <v>416</v>
      </c>
      <c r="L7" s="2">
        <v>45644</v>
      </c>
      <c r="M7" s="2">
        <v>45598</v>
      </c>
      <c r="N7" t="s">
        <v>407</v>
      </c>
      <c r="O7">
        <v>6</v>
      </c>
      <c r="P7" t="s">
        <v>33</v>
      </c>
      <c r="Q7" t="s">
        <v>34</v>
      </c>
      <c r="R7" s="1">
        <v>45601</v>
      </c>
      <c r="S7" t="s">
        <v>35</v>
      </c>
      <c r="T7" t="s">
        <v>36</v>
      </c>
      <c r="U7" t="s">
        <v>13</v>
      </c>
      <c r="V7" s="1">
        <v>45995.989292777776</v>
      </c>
      <c r="W7">
        <v>6</v>
      </c>
      <c r="X7" t="s">
        <v>238</v>
      </c>
      <c r="Y7" t="s">
        <v>221</v>
      </c>
      <c r="Z7" t="s">
        <v>232</v>
      </c>
      <c r="AA7" t="s">
        <v>239</v>
      </c>
      <c r="AB7" t="s">
        <v>240</v>
      </c>
      <c r="AC7" s="1">
        <v>45085</v>
      </c>
      <c r="AD7" t="s">
        <v>526</v>
      </c>
    </row>
    <row r="8" spans="1:30">
      <c r="A8">
        <v>7</v>
      </c>
      <c r="B8">
        <v>7</v>
      </c>
      <c r="C8">
        <v>7</v>
      </c>
      <c r="D8" t="s">
        <v>421</v>
      </c>
      <c r="E8" t="s">
        <v>422</v>
      </c>
      <c r="F8">
        <v>900</v>
      </c>
      <c r="G8">
        <v>1800</v>
      </c>
      <c r="H8" t="s">
        <v>404</v>
      </c>
      <c r="I8" t="s">
        <v>242</v>
      </c>
      <c r="J8" t="s">
        <v>410</v>
      </c>
      <c r="K8" t="s">
        <v>406</v>
      </c>
      <c r="L8" s="2">
        <v>45657</v>
      </c>
      <c r="M8" s="2">
        <v>45597</v>
      </c>
      <c r="N8" t="s">
        <v>407</v>
      </c>
      <c r="O8">
        <v>7</v>
      </c>
      <c r="P8" t="s">
        <v>37</v>
      </c>
      <c r="Q8" t="s">
        <v>38</v>
      </c>
      <c r="R8" s="1">
        <v>45602</v>
      </c>
      <c r="S8" t="s">
        <v>39</v>
      </c>
      <c r="T8" t="s">
        <v>40</v>
      </c>
      <c r="U8" t="s">
        <v>18</v>
      </c>
      <c r="V8" s="1">
        <v>45995.989292777776</v>
      </c>
      <c r="W8">
        <v>7</v>
      </c>
      <c r="X8" t="s">
        <v>241</v>
      </c>
      <c r="Y8" t="s">
        <v>221</v>
      </c>
      <c r="Z8" t="s">
        <v>232</v>
      </c>
      <c r="AA8" t="s">
        <v>242</v>
      </c>
      <c r="AB8" t="s">
        <v>243</v>
      </c>
      <c r="AC8" s="1">
        <v>45121</v>
      </c>
      <c r="AD8" t="s">
        <v>527</v>
      </c>
    </row>
    <row r="9" spans="1:30">
      <c r="A9">
        <v>8</v>
      </c>
      <c r="B9">
        <v>8</v>
      </c>
      <c r="C9">
        <v>8</v>
      </c>
      <c r="D9" t="s">
        <v>423</v>
      </c>
      <c r="E9" t="s">
        <v>424</v>
      </c>
      <c r="F9">
        <v>850</v>
      </c>
      <c r="G9">
        <v>1700</v>
      </c>
      <c r="H9" t="s">
        <v>404</v>
      </c>
      <c r="I9" t="s">
        <v>245</v>
      </c>
      <c r="J9" t="s">
        <v>415</v>
      </c>
      <c r="K9" t="s">
        <v>406</v>
      </c>
      <c r="L9" s="2">
        <v>45650</v>
      </c>
      <c r="M9" s="2">
        <v>45594</v>
      </c>
      <c r="N9" t="s">
        <v>407</v>
      </c>
      <c r="O9">
        <v>8</v>
      </c>
      <c r="P9" t="s">
        <v>41</v>
      </c>
      <c r="Q9" t="s">
        <v>42</v>
      </c>
      <c r="R9" s="1">
        <v>45595</v>
      </c>
      <c r="S9" t="s">
        <v>43</v>
      </c>
      <c r="T9" t="s">
        <v>44</v>
      </c>
      <c r="U9" t="s">
        <v>28</v>
      </c>
      <c r="V9" s="1">
        <v>45995.989292777776</v>
      </c>
      <c r="W9">
        <v>8</v>
      </c>
      <c r="X9" t="s">
        <v>244</v>
      </c>
      <c r="Y9" t="s">
        <v>221</v>
      </c>
      <c r="Z9" t="s">
        <v>232</v>
      </c>
      <c r="AA9" t="s">
        <v>245</v>
      </c>
      <c r="AB9" t="s">
        <v>246</v>
      </c>
      <c r="AC9" s="1">
        <v>45160</v>
      </c>
      <c r="AD9" t="s">
        <v>528</v>
      </c>
    </row>
    <row r="10" spans="1:30">
      <c r="A10">
        <v>9</v>
      </c>
      <c r="B10">
        <v>9</v>
      </c>
      <c r="C10">
        <v>9</v>
      </c>
      <c r="D10" t="s">
        <v>425</v>
      </c>
      <c r="E10" t="s">
        <v>426</v>
      </c>
      <c r="F10">
        <v>500</v>
      </c>
      <c r="G10">
        <v>1000</v>
      </c>
      <c r="H10" t="s">
        <v>404</v>
      </c>
      <c r="I10" t="s">
        <v>248</v>
      </c>
      <c r="J10" t="s">
        <v>405</v>
      </c>
      <c r="K10" t="s">
        <v>416</v>
      </c>
      <c r="L10" s="2">
        <v>45641</v>
      </c>
      <c r="M10" s="2">
        <v>45596</v>
      </c>
      <c r="N10" t="s">
        <v>407</v>
      </c>
      <c r="O10">
        <v>9</v>
      </c>
      <c r="P10" t="s">
        <v>45</v>
      </c>
      <c r="Q10" t="s">
        <v>46</v>
      </c>
      <c r="R10" s="1">
        <v>45598</v>
      </c>
      <c r="S10" t="s">
        <v>47</v>
      </c>
      <c r="T10" t="s">
        <v>48</v>
      </c>
      <c r="U10" t="s">
        <v>18</v>
      </c>
      <c r="V10" s="1">
        <v>45995.989292777776</v>
      </c>
      <c r="W10">
        <v>9</v>
      </c>
      <c r="X10" t="s">
        <v>247</v>
      </c>
      <c r="Y10" t="s">
        <v>221</v>
      </c>
      <c r="Z10" t="s">
        <v>222</v>
      </c>
      <c r="AA10" t="s">
        <v>248</v>
      </c>
      <c r="AB10" t="s">
        <v>249</v>
      </c>
      <c r="AC10" s="1">
        <v>45187</v>
      </c>
      <c r="AD10" t="s">
        <v>529</v>
      </c>
    </row>
    <row r="11" spans="1:30">
      <c r="A11">
        <v>10</v>
      </c>
      <c r="B11">
        <v>10</v>
      </c>
      <c r="C11">
        <v>10</v>
      </c>
      <c r="D11" t="s">
        <v>427</v>
      </c>
      <c r="E11" t="s">
        <v>428</v>
      </c>
      <c r="F11">
        <v>400</v>
      </c>
      <c r="G11">
        <v>800</v>
      </c>
      <c r="H11" t="s">
        <v>404</v>
      </c>
      <c r="I11" t="s">
        <v>251</v>
      </c>
      <c r="J11" t="s">
        <v>415</v>
      </c>
      <c r="K11" t="s">
        <v>429</v>
      </c>
      <c r="L11" s="2">
        <v>45636</v>
      </c>
      <c r="M11" s="2">
        <v>45599</v>
      </c>
      <c r="N11" t="s">
        <v>407</v>
      </c>
      <c r="O11">
        <v>10</v>
      </c>
      <c r="P11" t="s">
        <v>49</v>
      </c>
      <c r="Q11" t="s">
        <v>50</v>
      </c>
      <c r="R11" s="1">
        <v>45603</v>
      </c>
      <c r="S11" t="s">
        <v>51</v>
      </c>
      <c r="T11" t="s">
        <v>52</v>
      </c>
      <c r="U11" t="s">
        <v>28</v>
      </c>
      <c r="V11" s="1">
        <v>45995.989292777776</v>
      </c>
      <c r="W11">
        <v>10</v>
      </c>
      <c r="X11" t="s">
        <v>250</v>
      </c>
      <c r="Y11" t="s">
        <v>221</v>
      </c>
      <c r="Z11" t="s">
        <v>232</v>
      </c>
      <c r="AA11" t="s">
        <v>251</v>
      </c>
      <c r="AB11" t="s">
        <v>252</v>
      </c>
      <c r="AC11" s="1">
        <v>45229</v>
      </c>
      <c r="AD11" t="s">
        <v>530</v>
      </c>
    </row>
    <row r="12" spans="1:30">
      <c r="A12">
        <v>11</v>
      </c>
      <c r="B12">
        <v>11</v>
      </c>
      <c r="C12">
        <v>11</v>
      </c>
      <c r="D12" t="s">
        <v>402</v>
      </c>
      <c r="E12" t="s">
        <v>531</v>
      </c>
      <c r="F12">
        <v>1100</v>
      </c>
      <c r="G12">
        <v>2300</v>
      </c>
      <c r="H12" t="s">
        <v>404</v>
      </c>
      <c r="I12" t="s">
        <v>254</v>
      </c>
      <c r="J12" t="s">
        <v>410</v>
      </c>
      <c r="K12" t="s">
        <v>406</v>
      </c>
      <c r="L12" s="2">
        <v>45656</v>
      </c>
      <c r="M12" s="2">
        <v>45600</v>
      </c>
      <c r="N12" t="s">
        <v>407</v>
      </c>
      <c r="O12">
        <v>11</v>
      </c>
      <c r="P12" t="s">
        <v>53</v>
      </c>
      <c r="Q12" t="s">
        <v>54</v>
      </c>
      <c r="R12" s="1">
        <v>45604</v>
      </c>
      <c r="S12" t="s">
        <v>55</v>
      </c>
      <c r="T12" t="s">
        <v>56</v>
      </c>
      <c r="U12" t="s">
        <v>13</v>
      </c>
      <c r="V12" s="1">
        <v>45995.989292777776</v>
      </c>
      <c r="W12">
        <v>11</v>
      </c>
      <c r="X12" t="s">
        <v>253</v>
      </c>
      <c r="Y12" t="s">
        <v>221</v>
      </c>
      <c r="Z12" t="s">
        <v>232</v>
      </c>
      <c r="AA12" t="s">
        <v>254</v>
      </c>
      <c r="AB12" t="s">
        <v>255</v>
      </c>
      <c r="AC12" s="1">
        <v>45235</v>
      </c>
      <c r="AD12" t="s">
        <v>532</v>
      </c>
    </row>
    <row r="13" spans="1:30">
      <c r="A13">
        <v>12</v>
      </c>
      <c r="B13">
        <v>12</v>
      </c>
      <c r="C13">
        <v>12</v>
      </c>
      <c r="D13" t="s">
        <v>408</v>
      </c>
      <c r="E13" t="s">
        <v>533</v>
      </c>
      <c r="F13">
        <v>1000</v>
      </c>
      <c r="G13">
        <v>2100</v>
      </c>
      <c r="H13" t="s">
        <v>404</v>
      </c>
      <c r="I13" t="s">
        <v>257</v>
      </c>
      <c r="J13" t="s">
        <v>405</v>
      </c>
      <c r="K13" t="s">
        <v>406</v>
      </c>
      <c r="L13" s="2">
        <v>45655</v>
      </c>
      <c r="M13" s="2">
        <v>45601</v>
      </c>
      <c r="N13" t="s">
        <v>407</v>
      </c>
      <c r="O13">
        <v>12</v>
      </c>
      <c r="P13" t="s">
        <v>57</v>
      </c>
      <c r="Q13" t="s">
        <v>58</v>
      </c>
      <c r="R13" s="1">
        <v>45605</v>
      </c>
      <c r="S13" t="s">
        <v>59</v>
      </c>
      <c r="T13" t="s">
        <v>60</v>
      </c>
      <c r="U13" t="s">
        <v>18</v>
      </c>
      <c r="V13" s="1">
        <v>45995.989292777776</v>
      </c>
      <c r="W13">
        <v>12</v>
      </c>
      <c r="X13" t="s">
        <v>256</v>
      </c>
      <c r="Y13" t="s">
        <v>221</v>
      </c>
      <c r="Z13" t="s">
        <v>232</v>
      </c>
      <c r="AA13" t="s">
        <v>257</v>
      </c>
      <c r="AB13" t="s">
        <v>258</v>
      </c>
      <c r="AC13" s="1">
        <v>45261</v>
      </c>
      <c r="AD13" t="s">
        <v>534</v>
      </c>
    </row>
    <row r="14" spans="1:30">
      <c r="A14">
        <v>13</v>
      </c>
      <c r="B14">
        <v>13</v>
      </c>
      <c r="C14">
        <v>13</v>
      </c>
      <c r="D14" t="s">
        <v>411</v>
      </c>
      <c r="E14" t="s">
        <v>430</v>
      </c>
      <c r="F14">
        <v>950</v>
      </c>
      <c r="G14">
        <v>1900</v>
      </c>
      <c r="H14" t="s">
        <v>404</v>
      </c>
      <c r="I14" t="s">
        <v>260</v>
      </c>
      <c r="J14" t="s">
        <v>415</v>
      </c>
      <c r="K14" t="s">
        <v>406</v>
      </c>
      <c r="L14" s="2">
        <v>45653</v>
      </c>
      <c r="M14" s="2">
        <v>45597</v>
      </c>
      <c r="N14" t="s">
        <v>407</v>
      </c>
      <c r="O14">
        <v>13</v>
      </c>
      <c r="P14" t="s">
        <v>61</v>
      </c>
      <c r="Q14" t="s">
        <v>62</v>
      </c>
      <c r="R14" s="1">
        <v>45601</v>
      </c>
      <c r="S14" t="s">
        <v>63</v>
      </c>
      <c r="T14" t="s">
        <v>64</v>
      </c>
      <c r="U14" t="s">
        <v>28</v>
      </c>
      <c r="V14" s="1">
        <v>45995.989292777776</v>
      </c>
      <c r="W14">
        <v>13</v>
      </c>
      <c r="X14" t="s">
        <v>259</v>
      </c>
      <c r="Y14" t="s">
        <v>221</v>
      </c>
      <c r="Z14" t="s">
        <v>232</v>
      </c>
      <c r="AA14" t="s">
        <v>260</v>
      </c>
      <c r="AB14" t="s">
        <v>261</v>
      </c>
      <c r="AC14" s="1">
        <v>45301</v>
      </c>
      <c r="AD14" t="s">
        <v>535</v>
      </c>
    </row>
    <row r="15" spans="1:30">
      <c r="A15">
        <v>14</v>
      </c>
      <c r="B15">
        <v>14</v>
      </c>
      <c r="C15">
        <v>14</v>
      </c>
      <c r="D15" t="s">
        <v>413</v>
      </c>
      <c r="E15" t="s">
        <v>431</v>
      </c>
      <c r="F15">
        <v>750</v>
      </c>
      <c r="G15">
        <v>1500</v>
      </c>
      <c r="H15" t="s">
        <v>404</v>
      </c>
      <c r="I15" t="s">
        <v>263</v>
      </c>
      <c r="J15" t="s">
        <v>405</v>
      </c>
      <c r="K15" t="s">
        <v>416</v>
      </c>
      <c r="L15" s="2">
        <v>45645</v>
      </c>
      <c r="M15" s="2">
        <v>45598</v>
      </c>
      <c r="N15" t="s">
        <v>407</v>
      </c>
      <c r="O15">
        <v>14</v>
      </c>
      <c r="P15" t="s">
        <v>65</v>
      </c>
      <c r="Q15" t="s">
        <v>66</v>
      </c>
      <c r="R15" s="1">
        <v>45602</v>
      </c>
      <c r="S15" t="s">
        <v>67</v>
      </c>
      <c r="T15" t="s">
        <v>68</v>
      </c>
      <c r="U15" t="s">
        <v>13</v>
      </c>
      <c r="V15" s="1">
        <v>45995.989292777776</v>
      </c>
      <c r="W15">
        <v>14</v>
      </c>
      <c r="X15" t="s">
        <v>262</v>
      </c>
      <c r="Y15" t="s">
        <v>221</v>
      </c>
      <c r="Z15" t="s">
        <v>232</v>
      </c>
      <c r="AA15" t="s">
        <v>263</v>
      </c>
      <c r="AB15" t="s">
        <v>264</v>
      </c>
      <c r="AC15" s="1">
        <v>45316</v>
      </c>
      <c r="AD15" t="s">
        <v>536</v>
      </c>
    </row>
    <row r="16" spans="1:30">
      <c r="A16">
        <v>15</v>
      </c>
      <c r="B16">
        <v>15</v>
      </c>
      <c r="C16">
        <v>15</v>
      </c>
      <c r="D16" t="s">
        <v>417</v>
      </c>
      <c r="E16" t="s">
        <v>432</v>
      </c>
      <c r="F16">
        <v>650</v>
      </c>
      <c r="G16">
        <v>1300</v>
      </c>
      <c r="H16" t="s">
        <v>404</v>
      </c>
      <c r="I16" t="s">
        <v>266</v>
      </c>
      <c r="J16" t="s">
        <v>415</v>
      </c>
      <c r="K16" t="s">
        <v>416</v>
      </c>
      <c r="L16" s="2">
        <v>45643</v>
      </c>
      <c r="M16" s="2">
        <v>45599</v>
      </c>
      <c r="N16" t="s">
        <v>407</v>
      </c>
      <c r="O16">
        <v>15</v>
      </c>
      <c r="P16" t="s">
        <v>69</v>
      </c>
      <c r="Q16" t="s">
        <v>70</v>
      </c>
      <c r="R16" s="1">
        <v>45603</v>
      </c>
      <c r="S16" t="s">
        <v>71</v>
      </c>
      <c r="T16" t="s">
        <v>72</v>
      </c>
      <c r="U16" t="s">
        <v>18</v>
      </c>
      <c r="V16" s="1">
        <v>45995.989292777776</v>
      </c>
      <c r="W16">
        <v>15</v>
      </c>
      <c r="X16" t="s">
        <v>265</v>
      </c>
      <c r="Y16" t="s">
        <v>221</v>
      </c>
      <c r="Z16" t="s">
        <v>232</v>
      </c>
      <c r="AA16" t="s">
        <v>266</v>
      </c>
      <c r="AB16" t="s">
        <v>267</v>
      </c>
      <c r="AC16" s="1">
        <v>45325</v>
      </c>
      <c r="AD16" t="s">
        <v>525</v>
      </c>
    </row>
    <row r="17" spans="1:30">
      <c r="A17">
        <v>16</v>
      </c>
      <c r="B17">
        <v>16</v>
      </c>
      <c r="C17">
        <v>16</v>
      </c>
      <c r="D17" t="s">
        <v>419</v>
      </c>
      <c r="E17" t="s">
        <v>433</v>
      </c>
      <c r="F17">
        <v>550</v>
      </c>
      <c r="G17">
        <v>1100</v>
      </c>
      <c r="H17" t="s">
        <v>404</v>
      </c>
      <c r="I17" t="s">
        <v>269</v>
      </c>
      <c r="J17" t="s">
        <v>410</v>
      </c>
      <c r="K17" t="s">
        <v>416</v>
      </c>
      <c r="L17" s="2">
        <v>45642</v>
      </c>
      <c r="M17" s="2">
        <v>45600</v>
      </c>
      <c r="N17" t="s">
        <v>407</v>
      </c>
      <c r="O17">
        <v>16</v>
      </c>
      <c r="P17" t="s">
        <v>73</v>
      </c>
      <c r="Q17" t="s">
        <v>74</v>
      </c>
      <c r="R17" s="1">
        <v>45604</v>
      </c>
      <c r="S17" t="s">
        <v>75</v>
      </c>
      <c r="T17" t="s">
        <v>76</v>
      </c>
      <c r="U17" t="s">
        <v>28</v>
      </c>
      <c r="V17" s="1">
        <v>45995.989292777776</v>
      </c>
      <c r="W17">
        <v>16</v>
      </c>
      <c r="X17" t="s">
        <v>268</v>
      </c>
      <c r="Y17" t="s">
        <v>221</v>
      </c>
      <c r="Z17" t="s">
        <v>232</v>
      </c>
      <c r="AA17" t="s">
        <v>269</v>
      </c>
      <c r="AB17" t="s">
        <v>270</v>
      </c>
      <c r="AC17" s="1">
        <v>45340</v>
      </c>
      <c r="AD17" t="s">
        <v>537</v>
      </c>
    </row>
    <row r="18" spans="1:30">
      <c r="A18">
        <v>17</v>
      </c>
      <c r="B18">
        <v>17</v>
      </c>
      <c r="C18">
        <v>17</v>
      </c>
      <c r="D18" t="s">
        <v>421</v>
      </c>
      <c r="E18" t="s">
        <v>538</v>
      </c>
      <c r="F18">
        <v>800</v>
      </c>
      <c r="G18">
        <v>1700</v>
      </c>
      <c r="H18" t="s">
        <v>404</v>
      </c>
      <c r="I18" t="s">
        <v>223</v>
      </c>
      <c r="J18" t="s">
        <v>410</v>
      </c>
      <c r="K18" t="s">
        <v>406</v>
      </c>
      <c r="L18" s="2">
        <v>45657</v>
      </c>
      <c r="M18" s="2">
        <v>45601</v>
      </c>
      <c r="N18" t="s">
        <v>407</v>
      </c>
      <c r="O18">
        <v>17</v>
      </c>
      <c r="P18" t="s">
        <v>77</v>
      </c>
      <c r="Q18" t="s">
        <v>78</v>
      </c>
      <c r="R18" s="1">
        <v>45605</v>
      </c>
      <c r="S18" t="s">
        <v>79</v>
      </c>
      <c r="T18" t="s">
        <v>80</v>
      </c>
      <c r="U18" t="s">
        <v>23</v>
      </c>
      <c r="V18" s="1">
        <v>45995.989292777776</v>
      </c>
      <c r="W18">
        <v>17</v>
      </c>
      <c r="X18" t="s">
        <v>271</v>
      </c>
      <c r="Y18" t="s">
        <v>272</v>
      </c>
      <c r="Z18" t="s">
        <v>222</v>
      </c>
      <c r="AA18" t="s">
        <v>223</v>
      </c>
      <c r="AB18" t="s">
        <v>273</v>
      </c>
      <c r="AC18" s="1">
        <v>45358</v>
      </c>
      <c r="AD18" t="s">
        <v>527</v>
      </c>
    </row>
    <row r="19" spans="1:30">
      <c r="A19">
        <v>18</v>
      </c>
      <c r="B19">
        <v>18</v>
      </c>
      <c r="C19">
        <v>18</v>
      </c>
      <c r="D19" t="s">
        <v>423</v>
      </c>
      <c r="E19" t="s">
        <v>539</v>
      </c>
      <c r="F19">
        <v>700</v>
      </c>
      <c r="G19">
        <v>1500</v>
      </c>
      <c r="H19" t="s">
        <v>404</v>
      </c>
      <c r="I19" t="s">
        <v>229</v>
      </c>
      <c r="J19" t="s">
        <v>415</v>
      </c>
      <c r="K19" t="s">
        <v>406</v>
      </c>
      <c r="L19" s="2">
        <v>45652</v>
      </c>
      <c r="M19" s="2">
        <v>45597</v>
      </c>
      <c r="N19" t="s">
        <v>407</v>
      </c>
      <c r="O19">
        <v>18</v>
      </c>
      <c r="P19" t="s">
        <v>81</v>
      </c>
      <c r="Q19" t="s">
        <v>82</v>
      </c>
      <c r="R19" s="1">
        <v>45601</v>
      </c>
      <c r="S19" t="s">
        <v>83</v>
      </c>
      <c r="T19" t="s">
        <v>84</v>
      </c>
      <c r="U19" t="s">
        <v>13</v>
      </c>
      <c r="V19" s="1">
        <v>45995.989292777776</v>
      </c>
      <c r="W19">
        <v>18</v>
      </c>
      <c r="X19" t="s">
        <v>274</v>
      </c>
      <c r="Y19" t="s">
        <v>275</v>
      </c>
      <c r="Z19" t="s">
        <v>222</v>
      </c>
      <c r="AA19" t="s">
        <v>229</v>
      </c>
      <c r="AB19" t="s">
        <v>276</v>
      </c>
      <c r="AC19" s="1">
        <v>45373</v>
      </c>
      <c r="AD19" t="s">
        <v>540</v>
      </c>
    </row>
    <row r="20" spans="1:30">
      <c r="A20">
        <v>19</v>
      </c>
      <c r="B20">
        <v>19</v>
      </c>
      <c r="C20">
        <v>19</v>
      </c>
      <c r="D20" t="s">
        <v>425</v>
      </c>
      <c r="E20" t="s">
        <v>434</v>
      </c>
      <c r="F20">
        <v>450</v>
      </c>
      <c r="G20">
        <v>950</v>
      </c>
      <c r="H20" t="s">
        <v>404</v>
      </c>
      <c r="I20" t="s">
        <v>233</v>
      </c>
      <c r="J20" t="s">
        <v>405</v>
      </c>
      <c r="K20" t="s">
        <v>416</v>
      </c>
      <c r="L20" s="2">
        <v>45640</v>
      </c>
      <c r="M20" s="2">
        <v>45598</v>
      </c>
      <c r="N20" t="s">
        <v>407</v>
      </c>
      <c r="O20">
        <v>19</v>
      </c>
      <c r="P20" t="s">
        <v>85</v>
      </c>
      <c r="Q20" t="s">
        <v>86</v>
      </c>
      <c r="R20" s="1">
        <v>45602</v>
      </c>
      <c r="S20" t="s">
        <v>87</v>
      </c>
      <c r="T20" t="s">
        <v>88</v>
      </c>
      <c r="U20" t="s">
        <v>18</v>
      </c>
      <c r="V20" s="1">
        <v>45995.989292777776</v>
      </c>
      <c r="W20">
        <v>19</v>
      </c>
      <c r="X20" t="s">
        <v>277</v>
      </c>
      <c r="Y20" t="s">
        <v>278</v>
      </c>
      <c r="Z20" t="s">
        <v>222</v>
      </c>
      <c r="AA20" t="s">
        <v>233</v>
      </c>
      <c r="AB20" t="s">
        <v>279</v>
      </c>
      <c r="AC20" s="1">
        <v>45387</v>
      </c>
      <c r="AD20" t="s">
        <v>541</v>
      </c>
    </row>
    <row r="21" spans="1:30">
      <c r="A21">
        <v>20</v>
      </c>
      <c r="B21">
        <v>20</v>
      </c>
      <c r="C21">
        <v>20</v>
      </c>
      <c r="D21" t="s">
        <v>427</v>
      </c>
      <c r="E21" t="s">
        <v>435</v>
      </c>
      <c r="F21">
        <v>350</v>
      </c>
      <c r="G21">
        <v>750</v>
      </c>
      <c r="H21" t="s">
        <v>404</v>
      </c>
      <c r="I21" t="s">
        <v>242</v>
      </c>
      <c r="J21" t="s">
        <v>415</v>
      </c>
      <c r="K21" t="s">
        <v>429</v>
      </c>
      <c r="L21" s="2">
        <v>45638</v>
      </c>
      <c r="M21" s="2">
        <v>45599</v>
      </c>
      <c r="N21" t="s">
        <v>407</v>
      </c>
      <c r="O21">
        <v>20</v>
      </c>
      <c r="P21" t="s">
        <v>89</v>
      </c>
      <c r="Q21" t="s">
        <v>90</v>
      </c>
      <c r="R21" s="1">
        <v>45603</v>
      </c>
      <c r="S21" t="s">
        <v>91</v>
      </c>
      <c r="T21" t="s">
        <v>92</v>
      </c>
      <c r="U21" t="s">
        <v>28</v>
      </c>
      <c r="V21" s="1">
        <v>45995.989292777776</v>
      </c>
      <c r="W21">
        <v>20</v>
      </c>
      <c r="X21" t="s">
        <v>280</v>
      </c>
      <c r="Y21" t="s">
        <v>281</v>
      </c>
      <c r="Z21" t="s">
        <v>232</v>
      </c>
      <c r="AA21" t="s">
        <v>242</v>
      </c>
      <c r="AB21" t="s">
        <v>282</v>
      </c>
      <c r="AC21" s="1">
        <v>45402</v>
      </c>
      <c r="AD21" t="s">
        <v>542</v>
      </c>
    </row>
    <row r="22" spans="1:30">
      <c r="A22">
        <v>21</v>
      </c>
      <c r="B22">
        <v>21</v>
      </c>
      <c r="C22">
        <v>21</v>
      </c>
      <c r="D22" t="s">
        <v>402</v>
      </c>
      <c r="E22" t="s">
        <v>436</v>
      </c>
      <c r="F22">
        <v>1150</v>
      </c>
      <c r="G22">
        <v>2400</v>
      </c>
      <c r="H22" t="s">
        <v>404</v>
      </c>
      <c r="I22" t="s">
        <v>260</v>
      </c>
      <c r="J22" t="s">
        <v>410</v>
      </c>
      <c r="K22" t="s">
        <v>406</v>
      </c>
      <c r="L22" s="2">
        <v>45657</v>
      </c>
      <c r="M22" s="2">
        <v>45600</v>
      </c>
      <c r="N22" t="s">
        <v>407</v>
      </c>
      <c r="O22">
        <v>21</v>
      </c>
      <c r="P22" t="s">
        <v>93</v>
      </c>
      <c r="Q22" t="s">
        <v>94</v>
      </c>
      <c r="R22" s="1">
        <v>45604</v>
      </c>
      <c r="S22" t="s">
        <v>95</v>
      </c>
      <c r="T22" t="s">
        <v>96</v>
      </c>
      <c r="U22" t="s">
        <v>13</v>
      </c>
      <c r="V22" s="1">
        <v>45995.989292777776</v>
      </c>
      <c r="W22">
        <v>21</v>
      </c>
      <c r="X22" t="s">
        <v>283</v>
      </c>
      <c r="Y22" t="s">
        <v>284</v>
      </c>
      <c r="Z22" t="s">
        <v>232</v>
      </c>
      <c r="AA22" t="s">
        <v>260</v>
      </c>
      <c r="AB22" t="s">
        <v>285</v>
      </c>
      <c r="AC22" s="1">
        <v>45415</v>
      </c>
      <c r="AD22" t="s">
        <v>532</v>
      </c>
    </row>
    <row r="23" spans="1:30">
      <c r="A23">
        <v>22</v>
      </c>
      <c r="B23">
        <v>22</v>
      </c>
      <c r="C23">
        <v>22</v>
      </c>
      <c r="D23" t="s">
        <v>408</v>
      </c>
      <c r="E23" t="s">
        <v>437</v>
      </c>
      <c r="F23">
        <v>1050</v>
      </c>
      <c r="G23">
        <v>2200</v>
      </c>
      <c r="H23" t="s">
        <v>404</v>
      </c>
      <c r="I23" t="s">
        <v>223</v>
      </c>
      <c r="J23" t="s">
        <v>405</v>
      </c>
      <c r="K23" t="s">
        <v>406</v>
      </c>
      <c r="L23" s="2">
        <v>45654</v>
      </c>
      <c r="M23" s="2">
        <v>45601</v>
      </c>
      <c r="N23" t="s">
        <v>407</v>
      </c>
      <c r="O23">
        <v>22</v>
      </c>
      <c r="P23" t="s">
        <v>97</v>
      </c>
      <c r="Q23" t="s">
        <v>98</v>
      </c>
      <c r="R23" s="1">
        <v>45605</v>
      </c>
      <c r="S23" t="s">
        <v>99</v>
      </c>
      <c r="T23" t="s">
        <v>100</v>
      </c>
      <c r="U23" t="s">
        <v>18</v>
      </c>
      <c r="V23" s="1">
        <v>45995.989292777776</v>
      </c>
      <c r="W23">
        <v>22</v>
      </c>
      <c r="X23" t="s">
        <v>286</v>
      </c>
      <c r="Y23" t="s">
        <v>287</v>
      </c>
      <c r="Z23" t="s">
        <v>226</v>
      </c>
      <c r="AA23" t="s">
        <v>223</v>
      </c>
      <c r="AB23" t="s">
        <v>288</v>
      </c>
      <c r="AC23" s="1">
        <v>45429</v>
      </c>
      <c r="AD23" t="s">
        <v>534</v>
      </c>
    </row>
    <row r="24" spans="1:30">
      <c r="A24">
        <v>23</v>
      </c>
      <c r="B24">
        <v>23</v>
      </c>
      <c r="C24">
        <v>23</v>
      </c>
      <c r="D24" t="s">
        <v>411</v>
      </c>
      <c r="E24" t="s">
        <v>438</v>
      </c>
      <c r="F24">
        <v>980</v>
      </c>
      <c r="G24">
        <v>2000</v>
      </c>
      <c r="H24" t="s">
        <v>404</v>
      </c>
      <c r="I24" t="s">
        <v>248</v>
      </c>
      <c r="J24" t="s">
        <v>415</v>
      </c>
      <c r="K24" t="s">
        <v>406</v>
      </c>
      <c r="L24" s="2">
        <v>45655</v>
      </c>
      <c r="M24" s="2">
        <v>45597</v>
      </c>
      <c r="N24" t="s">
        <v>407</v>
      </c>
      <c r="O24">
        <v>23</v>
      </c>
      <c r="P24" t="s">
        <v>101</v>
      </c>
      <c r="Q24" t="s">
        <v>102</v>
      </c>
      <c r="R24" s="1">
        <v>45601</v>
      </c>
      <c r="S24" t="s">
        <v>103</v>
      </c>
      <c r="T24" t="s">
        <v>104</v>
      </c>
      <c r="U24" t="s">
        <v>28</v>
      </c>
      <c r="V24" s="1">
        <v>45995.989292777776</v>
      </c>
      <c r="W24">
        <v>23</v>
      </c>
      <c r="X24" t="s">
        <v>289</v>
      </c>
      <c r="Y24" t="s">
        <v>290</v>
      </c>
      <c r="Z24" t="s">
        <v>222</v>
      </c>
      <c r="AA24" t="s">
        <v>248</v>
      </c>
      <c r="AB24" t="s">
        <v>291</v>
      </c>
      <c r="AC24" s="1">
        <v>45445</v>
      </c>
      <c r="AD24" t="s">
        <v>535</v>
      </c>
    </row>
    <row r="25" spans="1:30">
      <c r="A25">
        <v>24</v>
      </c>
      <c r="B25">
        <v>24</v>
      </c>
      <c r="C25">
        <v>24</v>
      </c>
      <c r="D25" t="s">
        <v>413</v>
      </c>
      <c r="E25" t="s">
        <v>439</v>
      </c>
      <c r="F25">
        <v>720</v>
      </c>
      <c r="G25">
        <v>1450</v>
      </c>
      <c r="H25" t="s">
        <v>404</v>
      </c>
      <c r="I25" t="s">
        <v>239</v>
      </c>
      <c r="J25" t="s">
        <v>405</v>
      </c>
      <c r="K25" t="s">
        <v>416</v>
      </c>
      <c r="L25" s="2">
        <v>45647</v>
      </c>
      <c r="M25" s="2">
        <v>45598</v>
      </c>
      <c r="N25" t="s">
        <v>407</v>
      </c>
      <c r="O25">
        <v>24</v>
      </c>
      <c r="P25" t="s">
        <v>105</v>
      </c>
      <c r="Q25" t="s">
        <v>106</v>
      </c>
      <c r="R25" s="1">
        <v>45602</v>
      </c>
      <c r="S25" t="s">
        <v>107</v>
      </c>
      <c r="T25" t="s">
        <v>108</v>
      </c>
      <c r="U25" t="s">
        <v>13</v>
      </c>
      <c r="V25" s="1">
        <v>45995.989292777776</v>
      </c>
      <c r="W25">
        <v>24</v>
      </c>
      <c r="X25" t="s">
        <v>292</v>
      </c>
      <c r="Y25" t="s">
        <v>278</v>
      </c>
      <c r="Z25" t="s">
        <v>222</v>
      </c>
      <c r="AA25" t="s">
        <v>239</v>
      </c>
      <c r="AB25" t="s">
        <v>293</v>
      </c>
      <c r="AC25" s="1">
        <v>45462</v>
      </c>
      <c r="AD25" t="s">
        <v>536</v>
      </c>
    </row>
    <row r="26" spans="1:30">
      <c r="A26">
        <v>25</v>
      </c>
      <c r="B26">
        <v>25</v>
      </c>
      <c r="C26">
        <v>25</v>
      </c>
      <c r="D26" t="s">
        <v>417</v>
      </c>
      <c r="E26" t="s">
        <v>440</v>
      </c>
      <c r="F26">
        <v>680</v>
      </c>
      <c r="G26">
        <v>1350</v>
      </c>
      <c r="H26" t="s">
        <v>404</v>
      </c>
      <c r="I26" t="s">
        <v>245</v>
      </c>
      <c r="J26" t="s">
        <v>415</v>
      </c>
      <c r="K26" t="s">
        <v>416</v>
      </c>
      <c r="L26" s="2">
        <v>45649</v>
      </c>
      <c r="M26" s="2">
        <v>45599</v>
      </c>
      <c r="N26" t="s">
        <v>407</v>
      </c>
      <c r="O26">
        <v>25</v>
      </c>
      <c r="P26" t="s">
        <v>109</v>
      </c>
      <c r="Q26" t="s">
        <v>110</v>
      </c>
      <c r="R26" s="1">
        <v>45603</v>
      </c>
      <c r="S26" t="s">
        <v>111</v>
      </c>
      <c r="T26" t="s">
        <v>112</v>
      </c>
      <c r="U26" t="s">
        <v>18</v>
      </c>
      <c r="V26" s="1">
        <v>45995.989292777776</v>
      </c>
      <c r="W26">
        <v>25</v>
      </c>
      <c r="X26" t="s">
        <v>294</v>
      </c>
      <c r="Y26" t="s">
        <v>295</v>
      </c>
      <c r="Z26" t="s">
        <v>232</v>
      </c>
      <c r="AA26" t="s">
        <v>245</v>
      </c>
      <c r="AB26" t="s">
        <v>296</v>
      </c>
      <c r="AC26" s="1">
        <v>45477</v>
      </c>
      <c r="AD26" t="s">
        <v>543</v>
      </c>
    </row>
    <row r="27" spans="1:30">
      <c r="A27">
        <v>26</v>
      </c>
      <c r="B27">
        <v>26</v>
      </c>
      <c r="C27">
        <v>26</v>
      </c>
      <c r="D27" t="s">
        <v>419</v>
      </c>
      <c r="E27" t="s">
        <v>441</v>
      </c>
      <c r="F27">
        <v>620</v>
      </c>
      <c r="G27">
        <v>1250</v>
      </c>
      <c r="H27" t="s">
        <v>404</v>
      </c>
      <c r="I27" t="s">
        <v>251</v>
      </c>
      <c r="J27" t="s">
        <v>410</v>
      </c>
      <c r="K27" t="s">
        <v>416</v>
      </c>
      <c r="L27" s="2">
        <v>45646</v>
      </c>
      <c r="M27" s="2">
        <v>45600</v>
      </c>
      <c r="N27" t="s">
        <v>407</v>
      </c>
      <c r="O27">
        <v>26</v>
      </c>
      <c r="P27" t="s">
        <v>113</v>
      </c>
      <c r="Q27" t="s">
        <v>114</v>
      </c>
      <c r="R27" s="1">
        <v>45604</v>
      </c>
      <c r="S27" t="s">
        <v>115</v>
      </c>
      <c r="T27" t="s">
        <v>116</v>
      </c>
      <c r="U27" t="s">
        <v>28</v>
      </c>
      <c r="V27" s="1">
        <v>45995.989292777776</v>
      </c>
      <c r="W27">
        <v>26</v>
      </c>
      <c r="X27" t="s">
        <v>297</v>
      </c>
      <c r="Y27" t="s">
        <v>298</v>
      </c>
      <c r="Z27" t="s">
        <v>232</v>
      </c>
      <c r="AA27" t="s">
        <v>251</v>
      </c>
      <c r="AB27" t="s">
        <v>299</v>
      </c>
      <c r="AC27" s="1">
        <v>45494</v>
      </c>
      <c r="AD27" t="s">
        <v>537</v>
      </c>
    </row>
    <row r="28" spans="1:30">
      <c r="A28">
        <v>27</v>
      </c>
      <c r="B28">
        <v>27</v>
      </c>
      <c r="C28">
        <v>27</v>
      </c>
      <c r="D28" t="s">
        <v>421</v>
      </c>
      <c r="E28" t="s">
        <v>544</v>
      </c>
      <c r="F28">
        <v>850</v>
      </c>
      <c r="G28">
        <v>1750</v>
      </c>
      <c r="H28" t="s">
        <v>404</v>
      </c>
      <c r="I28" t="s">
        <v>254</v>
      </c>
      <c r="J28" t="s">
        <v>410</v>
      </c>
      <c r="K28" t="s">
        <v>406</v>
      </c>
      <c r="L28" s="2">
        <v>45656</v>
      </c>
      <c r="M28" s="2">
        <v>45601</v>
      </c>
      <c r="N28" t="s">
        <v>407</v>
      </c>
      <c r="O28">
        <v>27</v>
      </c>
      <c r="P28" t="s">
        <v>117</v>
      </c>
      <c r="Q28" t="s">
        <v>118</v>
      </c>
      <c r="R28" s="1">
        <v>45605</v>
      </c>
      <c r="S28" t="s">
        <v>119</v>
      </c>
      <c r="T28" t="s">
        <v>120</v>
      </c>
      <c r="U28" t="s">
        <v>13</v>
      </c>
      <c r="V28" s="1">
        <v>45995.989292777776</v>
      </c>
      <c r="W28">
        <v>27</v>
      </c>
      <c r="X28" t="s">
        <v>300</v>
      </c>
      <c r="Y28" t="s">
        <v>301</v>
      </c>
      <c r="Z28" t="s">
        <v>232</v>
      </c>
      <c r="AA28" t="s">
        <v>254</v>
      </c>
      <c r="AB28" t="s">
        <v>302</v>
      </c>
      <c r="AC28" s="1">
        <v>45512</v>
      </c>
      <c r="AD28" t="s">
        <v>527</v>
      </c>
    </row>
    <row r="29" spans="1:30">
      <c r="A29">
        <v>28</v>
      </c>
      <c r="B29">
        <v>28</v>
      </c>
      <c r="C29">
        <v>28</v>
      </c>
      <c r="D29" t="s">
        <v>423</v>
      </c>
      <c r="E29" t="s">
        <v>442</v>
      </c>
      <c r="F29">
        <v>780</v>
      </c>
      <c r="G29">
        <v>1600</v>
      </c>
      <c r="H29" t="s">
        <v>404</v>
      </c>
      <c r="I29" t="s">
        <v>257</v>
      </c>
      <c r="J29" t="s">
        <v>415</v>
      </c>
      <c r="K29" t="s">
        <v>406</v>
      </c>
      <c r="L29" s="2">
        <v>45651</v>
      </c>
      <c r="M29" s="2">
        <v>45597</v>
      </c>
      <c r="N29" t="s">
        <v>407</v>
      </c>
      <c r="O29">
        <v>28</v>
      </c>
      <c r="P29" t="s">
        <v>121</v>
      </c>
      <c r="Q29" t="s">
        <v>122</v>
      </c>
      <c r="R29" s="1">
        <v>45601</v>
      </c>
      <c r="S29" t="s">
        <v>123</v>
      </c>
      <c r="T29" t="s">
        <v>124</v>
      </c>
      <c r="U29" t="s">
        <v>18</v>
      </c>
      <c r="V29" s="1">
        <v>45995.989292777776</v>
      </c>
      <c r="W29">
        <v>28</v>
      </c>
      <c r="X29" t="s">
        <v>303</v>
      </c>
      <c r="Y29" t="s">
        <v>304</v>
      </c>
      <c r="Z29" t="s">
        <v>232</v>
      </c>
      <c r="AA29" t="s">
        <v>257</v>
      </c>
      <c r="AB29" t="s">
        <v>305</v>
      </c>
      <c r="AC29" s="1">
        <v>45529</v>
      </c>
      <c r="AD29" t="s">
        <v>545</v>
      </c>
    </row>
    <row r="30" spans="1:30">
      <c r="A30">
        <v>29</v>
      </c>
      <c r="B30">
        <v>29</v>
      </c>
      <c r="C30">
        <v>29</v>
      </c>
      <c r="D30" t="s">
        <v>425</v>
      </c>
      <c r="E30" t="s">
        <v>443</v>
      </c>
      <c r="F30">
        <v>480</v>
      </c>
      <c r="G30">
        <v>980</v>
      </c>
      <c r="H30" t="s">
        <v>404</v>
      </c>
      <c r="I30" t="s">
        <v>266</v>
      </c>
      <c r="J30" t="s">
        <v>405</v>
      </c>
      <c r="K30" t="s">
        <v>416</v>
      </c>
      <c r="L30" s="2">
        <v>45644</v>
      </c>
      <c r="M30" s="2">
        <v>45598</v>
      </c>
      <c r="N30" t="s">
        <v>407</v>
      </c>
      <c r="O30">
        <v>29</v>
      </c>
      <c r="P30" t="s">
        <v>125</v>
      </c>
      <c r="Q30" t="s">
        <v>126</v>
      </c>
      <c r="R30" s="1">
        <v>45602</v>
      </c>
      <c r="S30" t="s">
        <v>127</v>
      </c>
      <c r="T30" t="s">
        <v>128</v>
      </c>
      <c r="U30" t="s">
        <v>28</v>
      </c>
      <c r="V30" s="1">
        <v>45995.989292777776</v>
      </c>
      <c r="W30">
        <v>29</v>
      </c>
      <c r="X30" t="s">
        <v>306</v>
      </c>
      <c r="Y30" t="s">
        <v>281</v>
      </c>
      <c r="Z30" t="s">
        <v>232</v>
      </c>
      <c r="AA30" t="s">
        <v>266</v>
      </c>
      <c r="AB30" t="s">
        <v>307</v>
      </c>
      <c r="AC30" s="1">
        <v>45546</v>
      </c>
      <c r="AD30" t="s">
        <v>541</v>
      </c>
    </row>
    <row r="31" spans="1:30">
      <c r="A31">
        <v>30</v>
      </c>
      <c r="B31">
        <v>30</v>
      </c>
      <c r="C31">
        <v>30</v>
      </c>
      <c r="D31" t="s">
        <v>427</v>
      </c>
      <c r="E31" t="s">
        <v>444</v>
      </c>
      <c r="F31">
        <v>380</v>
      </c>
      <c r="G31">
        <v>780</v>
      </c>
      <c r="H31" t="s">
        <v>404</v>
      </c>
      <c r="I31" t="s">
        <v>223</v>
      </c>
      <c r="J31" t="s">
        <v>415</v>
      </c>
      <c r="K31" t="s">
        <v>429</v>
      </c>
      <c r="L31" s="2">
        <v>45642</v>
      </c>
      <c r="M31" s="2">
        <v>45599</v>
      </c>
      <c r="N31" t="s">
        <v>407</v>
      </c>
      <c r="O31">
        <v>30</v>
      </c>
      <c r="P31" t="s">
        <v>129</v>
      </c>
      <c r="Q31" t="s">
        <v>130</v>
      </c>
      <c r="R31" s="1">
        <v>45603</v>
      </c>
      <c r="S31" t="s">
        <v>131</v>
      </c>
      <c r="T31" t="s">
        <v>132</v>
      </c>
      <c r="U31" t="s">
        <v>13</v>
      </c>
      <c r="V31" s="1">
        <v>45995.989292777776</v>
      </c>
      <c r="W31">
        <v>30</v>
      </c>
      <c r="X31" t="s">
        <v>308</v>
      </c>
      <c r="Y31" t="s">
        <v>309</v>
      </c>
      <c r="Z31" t="s">
        <v>232</v>
      </c>
      <c r="AA31" t="s">
        <v>223</v>
      </c>
      <c r="AB31" t="s">
        <v>310</v>
      </c>
      <c r="AC31" s="1">
        <v>45563</v>
      </c>
      <c r="AD31" t="s">
        <v>542</v>
      </c>
    </row>
    <row r="32" spans="1:30">
      <c r="A32">
        <v>31</v>
      </c>
      <c r="B32">
        <v>31</v>
      </c>
      <c r="C32">
        <v>31</v>
      </c>
      <c r="D32" t="s">
        <v>402</v>
      </c>
      <c r="E32" t="s">
        <v>445</v>
      </c>
      <c r="F32">
        <v>1250</v>
      </c>
      <c r="G32">
        <v>2600</v>
      </c>
      <c r="H32" t="s">
        <v>404</v>
      </c>
      <c r="I32" t="s">
        <v>229</v>
      </c>
      <c r="J32" t="s">
        <v>405</v>
      </c>
      <c r="K32" t="s">
        <v>406</v>
      </c>
      <c r="L32" s="2">
        <v>45657</v>
      </c>
      <c r="M32" s="2">
        <v>45600</v>
      </c>
      <c r="N32" t="s">
        <v>407</v>
      </c>
      <c r="O32">
        <v>31</v>
      </c>
      <c r="P32" t="s">
        <v>133</v>
      </c>
      <c r="Q32" t="s">
        <v>134</v>
      </c>
      <c r="R32" s="1">
        <v>45604</v>
      </c>
      <c r="S32" t="s">
        <v>135</v>
      </c>
      <c r="T32" t="s">
        <v>136</v>
      </c>
      <c r="U32" t="s">
        <v>18</v>
      </c>
      <c r="V32" s="1">
        <v>45995.989292777776</v>
      </c>
      <c r="W32">
        <v>31</v>
      </c>
      <c r="X32" t="s">
        <v>311</v>
      </c>
      <c r="Y32" t="s">
        <v>312</v>
      </c>
      <c r="Z32" t="s">
        <v>232</v>
      </c>
      <c r="AA32" t="s">
        <v>229</v>
      </c>
      <c r="AB32" t="s">
        <v>313</v>
      </c>
      <c r="AC32" s="1">
        <v>45580</v>
      </c>
      <c r="AD32" t="s">
        <v>521</v>
      </c>
    </row>
    <row r="33" spans="1:30">
      <c r="A33">
        <v>32</v>
      </c>
      <c r="B33">
        <v>32</v>
      </c>
      <c r="C33">
        <v>32</v>
      </c>
      <c r="D33" t="s">
        <v>408</v>
      </c>
      <c r="E33" t="s">
        <v>546</v>
      </c>
      <c r="F33">
        <v>1150</v>
      </c>
      <c r="G33">
        <v>2350</v>
      </c>
      <c r="H33" t="s">
        <v>404</v>
      </c>
      <c r="I33" t="s">
        <v>233</v>
      </c>
      <c r="J33" t="s">
        <v>410</v>
      </c>
      <c r="K33" t="s">
        <v>406</v>
      </c>
      <c r="L33" s="2">
        <v>45655</v>
      </c>
      <c r="M33" s="2">
        <v>45601</v>
      </c>
      <c r="N33" t="s">
        <v>407</v>
      </c>
      <c r="O33">
        <v>32</v>
      </c>
      <c r="P33" t="s">
        <v>137</v>
      </c>
      <c r="Q33" t="s">
        <v>138</v>
      </c>
      <c r="R33" s="1">
        <v>45605</v>
      </c>
      <c r="S33" t="s">
        <v>139</v>
      </c>
      <c r="T33" t="s">
        <v>140</v>
      </c>
      <c r="U33" t="s">
        <v>28</v>
      </c>
      <c r="V33" s="1">
        <v>45995.989292777776</v>
      </c>
      <c r="W33">
        <v>32</v>
      </c>
      <c r="X33" t="s">
        <v>314</v>
      </c>
      <c r="Y33" t="s">
        <v>315</v>
      </c>
      <c r="Z33" t="s">
        <v>232</v>
      </c>
      <c r="AA33" t="s">
        <v>233</v>
      </c>
      <c r="AB33" t="s">
        <v>316</v>
      </c>
      <c r="AC33" s="1">
        <v>45595</v>
      </c>
      <c r="AD33" t="s">
        <v>534</v>
      </c>
    </row>
    <row r="34" spans="1:30">
      <c r="A34">
        <v>33</v>
      </c>
      <c r="B34">
        <v>33</v>
      </c>
      <c r="C34">
        <v>33</v>
      </c>
      <c r="D34" t="s">
        <v>411</v>
      </c>
      <c r="E34" t="s">
        <v>547</v>
      </c>
      <c r="F34">
        <v>1050</v>
      </c>
      <c r="G34">
        <v>2150</v>
      </c>
      <c r="H34" t="s">
        <v>404</v>
      </c>
      <c r="I34" t="s">
        <v>242</v>
      </c>
      <c r="J34" t="s">
        <v>415</v>
      </c>
      <c r="K34" t="s">
        <v>406</v>
      </c>
      <c r="L34" s="2">
        <v>45654</v>
      </c>
      <c r="M34" s="2">
        <v>45597</v>
      </c>
      <c r="N34" t="s">
        <v>407</v>
      </c>
      <c r="O34">
        <v>33</v>
      </c>
      <c r="P34" t="s">
        <v>141</v>
      </c>
      <c r="Q34" t="s">
        <v>142</v>
      </c>
      <c r="R34" s="1">
        <v>45601</v>
      </c>
      <c r="S34" t="s">
        <v>143</v>
      </c>
      <c r="T34" t="s">
        <v>144</v>
      </c>
      <c r="U34" t="s">
        <v>13</v>
      </c>
      <c r="V34" s="1">
        <v>45995.989292777776</v>
      </c>
      <c r="W34">
        <v>33</v>
      </c>
      <c r="X34" t="s">
        <v>317</v>
      </c>
      <c r="Y34" t="s">
        <v>275</v>
      </c>
      <c r="Z34" t="s">
        <v>232</v>
      </c>
      <c r="AA34" t="s">
        <v>242</v>
      </c>
      <c r="AB34" t="s">
        <v>318</v>
      </c>
      <c r="AC34" s="1">
        <v>45608</v>
      </c>
      <c r="AD34" t="s">
        <v>535</v>
      </c>
    </row>
    <row r="35" spans="1:30">
      <c r="A35">
        <v>34</v>
      </c>
      <c r="B35">
        <v>34</v>
      </c>
      <c r="C35">
        <v>34</v>
      </c>
      <c r="D35" t="s">
        <v>413</v>
      </c>
      <c r="E35" t="s">
        <v>446</v>
      </c>
      <c r="F35">
        <v>770</v>
      </c>
      <c r="G35">
        <v>1550</v>
      </c>
      <c r="H35" t="s">
        <v>404</v>
      </c>
      <c r="I35" t="s">
        <v>260</v>
      </c>
      <c r="J35" t="s">
        <v>405</v>
      </c>
      <c r="K35" t="s">
        <v>416</v>
      </c>
      <c r="L35" s="2">
        <v>45648</v>
      </c>
      <c r="M35" s="2">
        <v>45598</v>
      </c>
      <c r="N35" t="s">
        <v>407</v>
      </c>
      <c r="O35">
        <v>34</v>
      </c>
      <c r="P35" t="s">
        <v>145</v>
      </c>
      <c r="Q35" t="s">
        <v>146</v>
      </c>
      <c r="R35" s="1">
        <v>45602</v>
      </c>
      <c r="S35" t="s">
        <v>147</v>
      </c>
      <c r="T35" t="s">
        <v>148</v>
      </c>
      <c r="U35" t="s">
        <v>18</v>
      </c>
      <c r="V35" s="1">
        <v>45995.989292777776</v>
      </c>
      <c r="W35">
        <v>34</v>
      </c>
      <c r="X35" t="s">
        <v>319</v>
      </c>
      <c r="Y35" t="s">
        <v>320</v>
      </c>
      <c r="Z35" t="s">
        <v>232</v>
      </c>
      <c r="AA35" t="s">
        <v>260</v>
      </c>
      <c r="AB35" t="s">
        <v>321</v>
      </c>
      <c r="AC35" s="1">
        <v>45623</v>
      </c>
      <c r="AD35" t="s">
        <v>536</v>
      </c>
    </row>
    <row r="36" spans="1:30">
      <c r="A36">
        <v>35</v>
      </c>
      <c r="B36">
        <v>35</v>
      </c>
      <c r="C36">
        <v>35</v>
      </c>
      <c r="D36" t="s">
        <v>417</v>
      </c>
      <c r="E36" t="s">
        <v>447</v>
      </c>
      <c r="F36">
        <v>690</v>
      </c>
      <c r="G36">
        <v>1400</v>
      </c>
      <c r="H36" t="s">
        <v>404</v>
      </c>
      <c r="I36" t="s">
        <v>269</v>
      </c>
      <c r="J36" t="s">
        <v>415</v>
      </c>
      <c r="K36" t="s">
        <v>416</v>
      </c>
      <c r="L36" s="2">
        <v>45650</v>
      </c>
      <c r="M36" s="2">
        <v>45599</v>
      </c>
      <c r="N36" t="s">
        <v>407</v>
      </c>
      <c r="O36">
        <v>35</v>
      </c>
      <c r="P36" t="s">
        <v>149</v>
      </c>
      <c r="Q36" t="s">
        <v>150</v>
      </c>
      <c r="R36" s="1">
        <v>45603</v>
      </c>
      <c r="S36" t="s">
        <v>151</v>
      </c>
      <c r="T36" t="s">
        <v>152</v>
      </c>
      <c r="U36" t="s">
        <v>28</v>
      </c>
      <c r="V36" s="1">
        <v>45995.989292777776</v>
      </c>
      <c r="W36">
        <v>35</v>
      </c>
      <c r="X36" t="s">
        <v>322</v>
      </c>
      <c r="Y36" t="s">
        <v>323</v>
      </c>
      <c r="Z36" t="s">
        <v>232</v>
      </c>
      <c r="AA36" t="s">
        <v>269</v>
      </c>
      <c r="AB36" t="s">
        <v>324</v>
      </c>
      <c r="AC36" s="1">
        <v>45636</v>
      </c>
      <c r="AD36" t="s">
        <v>548</v>
      </c>
    </row>
    <row r="37" spans="1:30">
      <c r="A37">
        <v>36</v>
      </c>
      <c r="B37">
        <v>36</v>
      </c>
      <c r="C37">
        <v>36</v>
      </c>
      <c r="D37" t="s">
        <v>419</v>
      </c>
      <c r="E37" t="s">
        <v>448</v>
      </c>
      <c r="F37">
        <v>580</v>
      </c>
      <c r="G37">
        <v>1200</v>
      </c>
      <c r="H37" t="s">
        <v>404</v>
      </c>
      <c r="I37" t="s">
        <v>263</v>
      </c>
      <c r="J37" t="s">
        <v>410</v>
      </c>
      <c r="K37" t="s">
        <v>416</v>
      </c>
      <c r="L37" s="2">
        <v>45645</v>
      </c>
      <c r="M37" s="2">
        <v>45600</v>
      </c>
      <c r="N37" t="s">
        <v>407</v>
      </c>
      <c r="O37">
        <v>36</v>
      </c>
      <c r="P37" t="s">
        <v>153</v>
      </c>
      <c r="Q37" t="s">
        <v>154</v>
      </c>
      <c r="R37" s="1">
        <v>45604</v>
      </c>
      <c r="S37" t="s">
        <v>155</v>
      </c>
      <c r="T37" t="s">
        <v>156</v>
      </c>
      <c r="U37" t="s">
        <v>13</v>
      </c>
      <c r="V37" s="1">
        <v>45995.989292777776</v>
      </c>
      <c r="W37">
        <v>36</v>
      </c>
      <c r="X37" t="s">
        <v>325</v>
      </c>
      <c r="Y37" t="s">
        <v>301</v>
      </c>
      <c r="Z37" t="s">
        <v>232</v>
      </c>
      <c r="AA37" t="s">
        <v>263</v>
      </c>
      <c r="AB37" t="s">
        <v>326</v>
      </c>
      <c r="AC37" s="1">
        <v>45650</v>
      </c>
      <c r="AD37" t="s">
        <v>537</v>
      </c>
    </row>
    <row r="38" spans="1:30">
      <c r="A38">
        <v>37</v>
      </c>
      <c r="B38">
        <v>37</v>
      </c>
      <c r="C38">
        <v>37</v>
      </c>
      <c r="D38" t="s">
        <v>421</v>
      </c>
      <c r="E38" t="s">
        <v>449</v>
      </c>
      <c r="F38">
        <v>920</v>
      </c>
      <c r="G38">
        <v>1850</v>
      </c>
      <c r="H38" t="s">
        <v>404</v>
      </c>
      <c r="I38" t="s">
        <v>223</v>
      </c>
      <c r="J38" t="s">
        <v>410</v>
      </c>
      <c r="K38" t="s">
        <v>406</v>
      </c>
      <c r="L38" s="2">
        <v>45657</v>
      </c>
      <c r="M38" s="2">
        <v>45601</v>
      </c>
      <c r="N38" t="s">
        <v>407</v>
      </c>
      <c r="O38">
        <v>37</v>
      </c>
      <c r="P38" t="s">
        <v>157</v>
      </c>
      <c r="Q38" t="s">
        <v>158</v>
      </c>
      <c r="R38" s="1">
        <v>45605</v>
      </c>
      <c r="S38" t="s">
        <v>159</v>
      </c>
      <c r="T38" t="s">
        <v>160</v>
      </c>
      <c r="U38" t="s">
        <v>18</v>
      </c>
      <c r="V38" s="1">
        <v>45995.989292777776</v>
      </c>
      <c r="W38">
        <v>37</v>
      </c>
      <c r="X38" t="s">
        <v>327</v>
      </c>
      <c r="Y38" t="s">
        <v>272</v>
      </c>
      <c r="Z38" t="s">
        <v>226</v>
      </c>
      <c r="AA38" t="s">
        <v>223</v>
      </c>
      <c r="AB38" t="s">
        <v>328</v>
      </c>
      <c r="AC38" s="1">
        <v>45664</v>
      </c>
      <c r="AD38" t="s">
        <v>527</v>
      </c>
    </row>
    <row r="39" spans="1:30">
      <c r="A39">
        <v>38</v>
      </c>
      <c r="B39">
        <v>38</v>
      </c>
      <c r="C39">
        <v>38</v>
      </c>
      <c r="D39" t="s">
        <v>423</v>
      </c>
      <c r="E39" t="s">
        <v>450</v>
      </c>
      <c r="F39">
        <v>820</v>
      </c>
      <c r="G39">
        <v>1650</v>
      </c>
      <c r="H39" t="s">
        <v>404</v>
      </c>
      <c r="I39" t="s">
        <v>245</v>
      </c>
      <c r="J39" t="s">
        <v>415</v>
      </c>
      <c r="K39" t="s">
        <v>406</v>
      </c>
      <c r="L39" s="2">
        <v>45653</v>
      </c>
      <c r="M39" s="2">
        <v>45597</v>
      </c>
      <c r="N39" t="s">
        <v>407</v>
      </c>
      <c r="O39">
        <v>38</v>
      </c>
      <c r="P39" t="s">
        <v>161</v>
      </c>
      <c r="Q39" t="s">
        <v>162</v>
      </c>
      <c r="R39" s="1">
        <v>45601</v>
      </c>
      <c r="S39" t="s">
        <v>163</v>
      </c>
      <c r="T39" t="s">
        <v>164</v>
      </c>
      <c r="U39" t="s">
        <v>28</v>
      </c>
      <c r="V39" s="1">
        <v>45995.989292777776</v>
      </c>
      <c r="W39">
        <v>38</v>
      </c>
      <c r="X39" t="s">
        <v>329</v>
      </c>
      <c r="Y39" t="s">
        <v>330</v>
      </c>
      <c r="Z39" t="s">
        <v>232</v>
      </c>
      <c r="AA39" t="s">
        <v>245</v>
      </c>
      <c r="AB39" t="s">
        <v>331</v>
      </c>
      <c r="AC39" s="1">
        <v>45678</v>
      </c>
      <c r="AD39" t="s">
        <v>545</v>
      </c>
    </row>
    <row r="40" spans="1:30">
      <c r="A40">
        <v>39</v>
      </c>
      <c r="B40">
        <v>39</v>
      </c>
      <c r="C40">
        <v>39</v>
      </c>
      <c r="D40" t="s">
        <v>425</v>
      </c>
      <c r="E40" t="s">
        <v>451</v>
      </c>
      <c r="F40">
        <v>520</v>
      </c>
      <c r="G40">
        <v>1050</v>
      </c>
      <c r="H40" t="s">
        <v>404</v>
      </c>
      <c r="I40" t="s">
        <v>239</v>
      </c>
      <c r="J40" t="s">
        <v>405</v>
      </c>
      <c r="K40" t="s">
        <v>416</v>
      </c>
      <c r="L40" s="2">
        <v>45646</v>
      </c>
      <c r="M40" s="2">
        <v>45598</v>
      </c>
      <c r="N40" t="s">
        <v>407</v>
      </c>
      <c r="O40">
        <v>39</v>
      </c>
      <c r="P40" t="s">
        <v>165</v>
      </c>
      <c r="Q40" t="s">
        <v>166</v>
      </c>
      <c r="R40" s="1">
        <v>45602</v>
      </c>
      <c r="S40" t="s">
        <v>167</v>
      </c>
      <c r="T40" t="s">
        <v>168</v>
      </c>
      <c r="U40" t="s">
        <v>13</v>
      </c>
      <c r="V40" s="1">
        <v>45995.989292777776</v>
      </c>
      <c r="W40">
        <v>39</v>
      </c>
      <c r="X40" t="s">
        <v>332</v>
      </c>
      <c r="Y40" t="s">
        <v>333</v>
      </c>
      <c r="Z40" t="s">
        <v>232</v>
      </c>
      <c r="AA40" t="s">
        <v>239</v>
      </c>
      <c r="AB40" t="s">
        <v>334</v>
      </c>
      <c r="AC40" s="1">
        <v>45692</v>
      </c>
      <c r="AD40" t="s">
        <v>541</v>
      </c>
    </row>
    <row r="41" spans="1:30">
      <c r="A41">
        <v>40</v>
      </c>
      <c r="B41">
        <v>40</v>
      </c>
      <c r="C41">
        <v>40</v>
      </c>
      <c r="D41" t="s">
        <v>427</v>
      </c>
      <c r="E41" t="s">
        <v>452</v>
      </c>
      <c r="F41">
        <v>420</v>
      </c>
      <c r="G41">
        <v>850</v>
      </c>
      <c r="H41" t="s">
        <v>404</v>
      </c>
      <c r="I41" t="s">
        <v>251</v>
      </c>
      <c r="J41" t="s">
        <v>415</v>
      </c>
      <c r="K41" t="s">
        <v>429</v>
      </c>
      <c r="L41" s="2">
        <v>45644</v>
      </c>
      <c r="M41" s="2">
        <v>45599</v>
      </c>
      <c r="N41" t="s">
        <v>407</v>
      </c>
      <c r="O41">
        <v>40</v>
      </c>
      <c r="P41" t="s">
        <v>169</v>
      </c>
      <c r="Q41" t="s">
        <v>170</v>
      </c>
      <c r="R41" s="1">
        <v>45603</v>
      </c>
      <c r="S41" t="s">
        <v>171</v>
      </c>
      <c r="T41" t="s">
        <v>172</v>
      </c>
      <c r="U41" t="s">
        <v>18</v>
      </c>
      <c r="V41" s="1">
        <v>45995.989292777776</v>
      </c>
      <c r="W41">
        <v>40</v>
      </c>
      <c r="X41" t="s">
        <v>335</v>
      </c>
      <c r="Y41" t="s">
        <v>336</v>
      </c>
      <c r="Z41" t="s">
        <v>232</v>
      </c>
      <c r="AA41" t="s">
        <v>251</v>
      </c>
      <c r="AB41" t="s">
        <v>337</v>
      </c>
      <c r="AC41" s="1">
        <v>45706</v>
      </c>
      <c r="AD41" t="s">
        <v>542</v>
      </c>
    </row>
    <row r="42" spans="1:30">
      <c r="A42">
        <v>41</v>
      </c>
      <c r="B42">
        <v>41</v>
      </c>
      <c r="C42">
        <v>41</v>
      </c>
      <c r="D42" t="s">
        <v>402</v>
      </c>
      <c r="E42" t="s">
        <v>453</v>
      </c>
      <c r="F42">
        <v>1180</v>
      </c>
      <c r="G42">
        <v>2450</v>
      </c>
      <c r="H42" t="s">
        <v>404</v>
      </c>
      <c r="I42" t="s">
        <v>254</v>
      </c>
      <c r="J42" t="s">
        <v>410</v>
      </c>
      <c r="K42" t="s">
        <v>406</v>
      </c>
      <c r="L42" s="2">
        <v>45657</v>
      </c>
      <c r="M42" s="2">
        <v>45600</v>
      </c>
      <c r="N42" t="s">
        <v>407</v>
      </c>
      <c r="O42">
        <v>41</v>
      </c>
      <c r="P42" t="s">
        <v>173</v>
      </c>
      <c r="Q42" t="s">
        <v>174</v>
      </c>
      <c r="R42" s="1">
        <v>45604</v>
      </c>
      <c r="S42" t="s">
        <v>175</v>
      </c>
      <c r="T42" t="s">
        <v>176</v>
      </c>
      <c r="U42" t="s">
        <v>28</v>
      </c>
      <c r="V42" s="1">
        <v>45995.989292777776</v>
      </c>
      <c r="W42">
        <v>41</v>
      </c>
      <c r="X42" t="s">
        <v>338</v>
      </c>
      <c r="Y42" t="s">
        <v>339</v>
      </c>
      <c r="Z42" t="s">
        <v>232</v>
      </c>
      <c r="AA42" t="s">
        <v>254</v>
      </c>
      <c r="AB42" t="s">
        <v>340</v>
      </c>
      <c r="AC42" s="1">
        <v>45720</v>
      </c>
      <c r="AD42" t="s">
        <v>532</v>
      </c>
    </row>
    <row r="43" spans="1:30">
      <c r="A43">
        <v>42</v>
      </c>
      <c r="B43">
        <v>42</v>
      </c>
      <c r="C43">
        <v>42</v>
      </c>
      <c r="D43" t="s">
        <v>408</v>
      </c>
      <c r="E43" t="s">
        <v>454</v>
      </c>
      <c r="F43">
        <v>1080</v>
      </c>
      <c r="G43">
        <v>2250</v>
      </c>
      <c r="H43" t="s">
        <v>404</v>
      </c>
      <c r="I43" t="s">
        <v>257</v>
      </c>
      <c r="J43" t="s">
        <v>405</v>
      </c>
      <c r="K43" t="s">
        <v>406</v>
      </c>
      <c r="L43" s="2">
        <v>45656</v>
      </c>
      <c r="M43" s="2">
        <v>45601</v>
      </c>
      <c r="N43" t="s">
        <v>407</v>
      </c>
      <c r="O43">
        <v>42</v>
      </c>
      <c r="P43" t="s">
        <v>177</v>
      </c>
      <c r="Q43" t="s">
        <v>178</v>
      </c>
      <c r="R43" s="1">
        <v>45605</v>
      </c>
      <c r="S43" t="s">
        <v>179</v>
      </c>
      <c r="T43" t="s">
        <v>180</v>
      </c>
      <c r="U43" t="s">
        <v>13</v>
      </c>
      <c r="V43" s="1">
        <v>45995.989292777776</v>
      </c>
      <c r="W43">
        <v>42</v>
      </c>
      <c r="X43" t="s">
        <v>341</v>
      </c>
      <c r="Y43" t="s">
        <v>342</v>
      </c>
      <c r="Z43" t="s">
        <v>232</v>
      </c>
      <c r="AA43" t="s">
        <v>257</v>
      </c>
      <c r="AB43" t="s">
        <v>343</v>
      </c>
      <c r="AC43" s="1">
        <v>45736</v>
      </c>
      <c r="AD43" t="s">
        <v>534</v>
      </c>
    </row>
    <row r="44" spans="1:30">
      <c r="A44">
        <v>43</v>
      </c>
      <c r="B44">
        <v>43</v>
      </c>
      <c r="C44">
        <v>43</v>
      </c>
      <c r="D44" t="s">
        <v>411</v>
      </c>
      <c r="E44" t="s">
        <v>455</v>
      </c>
      <c r="F44">
        <v>1020</v>
      </c>
      <c r="G44">
        <v>2080</v>
      </c>
      <c r="H44" t="s">
        <v>404</v>
      </c>
      <c r="I44" t="s">
        <v>266</v>
      </c>
      <c r="J44" t="s">
        <v>415</v>
      </c>
      <c r="K44" t="s">
        <v>406</v>
      </c>
      <c r="L44" s="2">
        <v>45655</v>
      </c>
      <c r="M44" s="2">
        <v>45597</v>
      </c>
      <c r="N44" t="s">
        <v>407</v>
      </c>
      <c r="O44">
        <v>43</v>
      </c>
      <c r="P44" t="s">
        <v>181</v>
      </c>
      <c r="Q44" t="s">
        <v>182</v>
      </c>
      <c r="R44" s="1">
        <v>45601</v>
      </c>
      <c r="S44" t="s">
        <v>183</v>
      </c>
      <c r="T44" t="s">
        <v>184</v>
      </c>
      <c r="U44" t="s">
        <v>18</v>
      </c>
      <c r="V44" s="1">
        <v>45995.989292777776</v>
      </c>
      <c r="W44">
        <v>43</v>
      </c>
      <c r="X44" t="s">
        <v>344</v>
      </c>
      <c r="Y44" t="s">
        <v>345</v>
      </c>
      <c r="Z44" t="s">
        <v>232</v>
      </c>
      <c r="AA44" t="s">
        <v>266</v>
      </c>
      <c r="AB44" t="s">
        <v>346</v>
      </c>
      <c r="AC44" s="1">
        <v>45750</v>
      </c>
      <c r="AD44" t="s">
        <v>535</v>
      </c>
    </row>
    <row r="45" spans="1:30">
      <c r="A45">
        <v>44</v>
      </c>
      <c r="B45">
        <v>44</v>
      </c>
      <c r="C45">
        <v>44</v>
      </c>
      <c r="D45" t="s">
        <v>413</v>
      </c>
      <c r="E45" t="s">
        <v>456</v>
      </c>
      <c r="F45">
        <v>790</v>
      </c>
      <c r="G45">
        <v>1580</v>
      </c>
      <c r="H45" t="s">
        <v>404</v>
      </c>
      <c r="I45" t="s">
        <v>223</v>
      </c>
      <c r="J45" t="s">
        <v>405</v>
      </c>
      <c r="K45" t="s">
        <v>416</v>
      </c>
      <c r="L45" s="2">
        <v>45649</v>
      </c>
      <c r="M45" s="2">
        <v>45598</v>
      </c>
      <c r="N45" t="s">
        <v>407</v>
      </c>
      <c r="O45">
        <v>44</v>
      </c>
      <c r="P45" t="s">
        <v>185</v>
      </c>
      <c r="Q45" t="s">
        <v>186</v>
      </c>
      <c r="R45" s="1">
        <v>45602</v>
      </c>
      <c r="S45" t="s">
        <v>187</v>
      </c>
      <c r="T45" t="s">
        <v>188</v>
      </c>
      <c r="U45" t="s">
        <v>28</v>
      </c>
      <c r="V45" s="1">
        <v>45995.989292777776</v>
      </c>
      <c r="W45">
        <v>44</v>
      </c>
      <c r="X45" t="s">
        <v>347</v>
      </c>
      <c r="Y45" t="s">
        <v>348</v>
      </c>
      <c r="Z45" t="s">
        <v>232</v>
      </c>
      <c r="AA45" t="s">
        <v>223</v>
      </c>
      <c r="AB45" t="s">
        <v>349</v>
      </c>
      <c r="AC45" s="1">
        <v>45764</v>
      </c>
      <c r="AD45" t="s">
        <v>536</v>
      </c>
    </row>
    <row r="46" spans="1:30">
      <c r="A46">
        <v>45</v>
      </c>
      <c r="B46">
        <v>45</v>
      </c>
      <c r="C46">
        <v>45</v>
      </c>
      <c r="D46" t="s">
        <v>417</v>
      </c>
      <c r="E46" t="s">
        <v>457</v>
      </c>
      <c r="F46">
        <v>710</v>
      </c>
      <c r="G46">
        <v>1420</v>
      </c>
      <c r="H46" t="s">
        <v>404</v>
      </c>
      <c r="I46" t="s">
        <v>229</v>
      </c>
      <c r="J46" t="s">
        <v>415</v>
      </c>
      <c r="K46" t="s">
        <v>416</v>
      </c>
      <c r="L46" s="2">
        <v>45651</v>
      </c>
      <c r="M46" s="2">
        <v>45599</v>
      </c>
      <c r="N46" t="s">
        <v>407</v>
      </c>
      <c r="O46">
        <v>45</v>
      </c>
      <c r="P46" t="s">
        <v>189</v>
      </c>
      <c r="Q46" t="s">
        <v>190</v>
      </c>
      <c r="R46" s="1">
        <v>45603</v>
      </c>
      <c r="S46" t="s">
        <v>191</v>
      </c>
      <c r="T46" t="s">
        <v>192</v>
      </c>
      <c r="U46" t="s">
        <v>13</v>
      </c>
      <c r="V46" s="1">
        <v>45995.989292777776</v>
      </c>
      <c r="W46">
        <v>45</v>
      </c>
      <c r="X46" t="s">
        <v>350</v>
      </c>
      <c r="Y46" t="s">
        <v>351</v>
      </c>
      <c r="Z46" t="s">
        <v>232</v>
      </c>
      <c r="AA46" t="s">
        <v>229</v>
      </c>
      <c r="AB46" t="s">
        <v>352</v>
      </c>
      <c r="AC46" s="1">
        <v>45778</v>
      </c>
      <c r="AD46" t="s">
        <v>525</v>
      </c>
    </row>
    <row r="47" spans="1:30">
      <c r="A47">
        <v>46</v>
      </c>
      <c r="B47">
        <v>46</v>
      </c>
      <c r="C47">
        <v>46</v>
      </c>
      <c r="D47" t="s">
        <v>419</v>
      </c>
      <c r="E47" t="s">
        <v>458</v>
      </c>
      <c r="F47">
        <v>590</v>
      </c>
      <c r="G47">
        <v>1180</v>
      </c>
      <c r="H47" t="s">
        <v>404</v>
      </c>
      <c r="I47" t="s">
        <v>233</v>
      </c>
      <c r="J47" t="s">
        <v>410</v>
      </c>
      <c r="K47" t="s">
        <v>416</v>
      </c>
      <c r="L47" s="2">
        <v>45647</v>
      </c>
      <c r="M47" s="2">
        <v>45600</v>
      </c>
      <c r="N47" t="s">
        <v>407</v>
      </c>
      <c r="O47">
        <v>46</v>
      </c>
      <c r="P47" t="s">
        <v>193</v>
      </c>
      <c r="Q47" t="s">
        <v>194</v>
      </c>
      <c r="R47" s="1">
        <v>45604</v>
      </c>
      <c r="S47" t="s">
        <v>195</v>
      </c>
      <c r="T47" t="s">
        <v>196</v>
      </c>
      <c r="U47" t="s">
        <v>18</v>
      </c>
      <c r="V47" s="1">
        <v>45995.989292777776</v>
      </c>
      <c r="W47">
        <v>46</v>
      </c>
      <c r="X47" t="s">
        <v>353</v>
      </c>
      <c r="Y47" t="s">
        <v>354</v>
      </c>
      <c r="Z47" t="s">
        <v>232</v>
      </c>
      <c r="AA47" t="s">
        <v>233</v>
      </c>
      <c r="AB47" t="s">
        <v>355</v>
      </c>
      <c r="AC47" s="1">
        <v>45792</v>
      </c>
      <c r="AD47" t="s">
        <v>537</v>
      </c>
    </row>
    <row r="48" spans="1:30">
      <c r="A48">
        <v>47</v>
      </c>
      <c r="B48">
        <v>47</v>
      </c>
      <c r="C48">
        <v>47</v>
      </c>
      <c r="D48" t="s">
        <v>421</v>
      </c>
      <c r="E48" t="s">
        <v>459</v>
      </c>
      <c r="F48">
        <v>880</v>
      </c>
      <c r="G48">
        <v>1800</v>
      </c>
      <c r="H48" t="s">
        <v>404</v>
      </c>
      <c r="I48" t="s">
        <v>242</v>
      </c>
      <c r="J48" t="s">
        <v>410</v>
      </c>
      <c r="K48" t="s">
        <v>406</v>
      </c>
      <c r="L48" s="2">
        <v>45656</v>
      </c>
      <c r="M48" s="2">
        <v>45601</v>
      </c>
      <c r="N48" t="s">
        <v>407</v>
      </c>
      <c r="O48">
        <v>47</v>
      </c>
      <c r="P48" t="s">
        <v>197</v>
      </c>
      <c r="Q48" t="s">
        <v>198</v>
      </c>
      <c r="R48" s="1">
        <v>45605</v>
      </c>
      <c r="S48" t="s">
        <v>199</v>
      </c>
      <c r="T48" t="s">
        <v>200</v>
      </c>
      <c r="U48" t="s">
        <v>28</v>
      </c>
      <c r="V48" s="1">
        <v>45995.989292777776</v>
      </c>
      <c r="W48">
        <v>47</v>
      </c>
      <c r="X48" t="s">
        <v>356</v>
      </c>
      <c r="Y48" t="s">
        <v>357</v>
      </c>
      <c r="Z48" t="s">
        <v>232</v>
      </c>
      <c r="AA48" t="s">
        <v>242</v>
      </c>
      <c r="AB48" t="s">
        <v>358</v>
      </c>
      <c r="AC48" s="1">
        <v>45806</v>
      </c>
      <c r="AD48" t="s">
        <v>527</v>
      </c>
    </row>
    <row r="49" spans="1:30">
      <c r="A49">
        <v>48</v>
      </c>
      <c r="B49">
        <v>48</v>
      </c>
      <c r="C49">
        <v>48</v>
      </c>
      <c r="D49" t="s">
        <v>423</v>
      </c>
      <c r="E49" t="s">
        <v>460</v>
      </c>
      <c r="F49">
        <v>760</v>
      </c>
      <c r="G49">
        <v>1550</v>
      </c>
      <c r="H49" t="s">
        <v>404</v>
      </c>
      <c r="I49" t="s">
        <v>260</v>
      </c>
      <c r="J49" t="s">
        <v>415</v>
      </c>
      <c r="K49" t="s">
        <v>406</v>
      </c>
      <c r="L49" s="2">
        <v>45652</v>
      </c>
      <c r="M49" s="2">
        <v>45597</v>
      </c>
      <c r="N49" t="s">
        <v>407</v>
      </c>
      <c r="O49">
        <v>48</v>
      </c>
      <c r="P49" t="s">
        <v>201</v>
      </c>
      <c r="Q49" t="s">
        <v>202</v>
      </c>
      <c r="R49" s="1">
        <v>45601</v>
      </c>
      <c r="S49" t="s">
        <v>203</v>
      </c>
      <c r="T49" t="s">
        <v>204</v>
      </c>
      <c r="U49" t="s">
        <v>13</v>
      </c>
      <c r="V49" s="1">
        <v>45995.989292777776</v>
      </c>
      <c r="W49">
        <v>48</v>
      </c>
      <c r="X49" t="s">
        <v>359</v>
      </c>
      <c r="Y49" t="s">
        <v>360</v>
      </c>
      <c r="Z49" t="s">
        <v>232</v>
      </c>
      <c r="AA49" t="s">
        <v>260</v>
      </c>
      <c r="AB49" t="s">
        <v>361</v>
      </c>
      <c r="AC49" s="1">
        <v>45820</v>
      </c>
      <c r="AD49" t="s">
        <v>540</v>
      </c>
    </row>
    <row r="50" spans="1:30">
      <c r="A50">
        <v>49</v>
      </c>
      <c r="B50">
        <v>49</v>
      </c>
      <c r="C50">
        <v>49</v>
      </c>
      <c r="D50" t="s">
        <v>425</v>
      </c>
      <c r="E50" t="s">
        <v>461</v>
      </c>
      <c r="F50">
        <v>510</v>
      </c>
      <c r="G50">
        <v>1020</v>
      </c>
      <c r="H50" t="s">
        <v>404</v>
      </c>
      <c r="I50" t="s">
        <v>248</v>
      </c>
      <c r="J50" t="s">
        <v>405</v>
      </c>
      <c r="K50" t="s">
        <v>416</v>
      </c>
      <c r="L50" s="2">
        <v>45645</v>
      </c>
      <c r="M50" s="2">
        <v>45598</v>
      </c>
      <c r="N50" t="s">
        <v>407</v>
      </c>
      <c r="O50">
        <v>49</v>
      </c>
      <c r="P50" t="s">
        <v>205</v>
      </c>
      <c r="Q50" t="s">
        <v>206</v>
      </c>
      <c r="R50" s="1">
        <v>45602</v>
      </c>
      <c r="S50" t="s">
        <v>207</v>
      </c>
      <c r="T50" t="s">
        <v>208</v>
      </c>
      <c r="U50" t="s">
        <v>18</v>
      </c>
      <c r="V50" s="1">
        <v>45995.989292777776</v>
      </c>
      <c r="W50">
        <v>49</v>
      </c>
      <c r="X50" t="s">
        <v>362</v>
      </c>
      <c r="Y50" t="s">
        <v>363</v>
      </c>
      <c r="Z50" t="s">
        <v>232</v>
      </c>
      <c r="AA50" t="s">
        <v>248</v>
      </c>
      <c r="AB50" t="s">
        <v>364</v>
      </c>
      <c r="AC50" s="1">
        <v>45834</v>
      </c>
      <c r="AD50" t="s">
        <v>541</v>
      </c>
    </row>
    <row r="51" spans="1:30">
      <c r="A51">
        <v>50</v>
      </c>
      <c r="B51">
        <v>50</v>
      </c>
      <c r="C51">
        <v>50</v>
      </c>
      <c r="D51" t="s">
        <v>427</v>
      </c>
      <c r="E51" t="s">
        <v>462</v>
      </c>
      <c r="F51">
        <v>440</v>
      </c>
      <c r="G51">
        <v>880</v>
      </c>
      <c r="H51" t="s">
        <v>404</v>
      </c>
      <c r="I51" t="s">
        <v>236</v>
      </c>
      <c r="J51" t="s">
        <v>415</v>
      </c>
      <c r="K51" t="s">
        <v>429</v>
      </c>
      <c r="L51" s="2">
        <v>45643</v>
      </c>
      <c r="M51" s="2">
        <v>45599</v>
      </c>
      <c r="N51" t="s">
        <v>407</v>
      </c>
      <c r="O51">
        <v>50</v>
      </c>
      <c r="P51" t="s">
        <v>209</v>
      </c>
      <c r="Q51" t="s">
        <v>210</v>
      </c>
      <c r="R51" s="1">
        <v>45603</v>
      </c>
      <c r="S51" t="s">
        <v>211</v>
      </c>
      <c r="T51" t="s">
        <v>212</v>
      </c>
      <c r="U51" t="s">
        <v>28</v>
      </c>
      <c r="V51" s="1">
        <v>45995.989292777776</v>
      </c>
      <c r="W51">
        <v>50</v>
      </c>
      <c r="X51" t="s">
        <v>365</v>
      </c>
      <c r="Y51" t="s">
        <v>363</v>
      </c>
      <c r="Z51" t="s">
        <v>232</v>
      </c>
      <c r="AA51" t="s">
        <v>236</v>
      </c>
      <c r="AB51" t="s">
        <v>366</v>
      </c>
      <c r="AC51" s="1">
        <v>45848</v>
      </c>
      <c r="AD51" t="s">
        <v>542</v>
      </c>
    </row>
  </sheetData>
  <sheetProtection selectLockedCells="1"/>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BCB51-34FD-4C73-8862-C3B38F72E79C}">
  <dimension ref="A1:I51"/>
  <sheetViews>
    <sheetView workbookViewId="0">
      <selection activeCell="B42" sqref="B42"/>
    </sheetView>
  </sheetViews>
  <sheetFormatPr defaultRowHeight="13.8"/>
  <cols>
    <col min="1" max="1" width="15.296875" bestFit="1" customWidth="1"/>
    <col min="2" max="2" width="8.296875" bestFit="1" customWidth="1"/>
    <col min="3" max="3" width="16.796875" bestFit="1" customWidth="1"/>
    <col min="4" max="4" width="21" bestFit="1" customWidth="1"/>
    <col min="5" max="5" width="17.3984375" bestFit="1" customWidth="1"/>
    <col min="6" max="6" width="22.296875" bestFit="1" customWidth="1"/>
    <col min="7" max="7" width="42.09765625" bestFit="1" customWidth="1"/>
    <col min="8" max="8" width="18.796875" bestFit="1" customWidth="1"/>
    <col min="9" max="9" width="20.8984375" bestFit="1" customWidth="1"/>
  </cols>
  <sheetData>
    <row r="1" spans="1:9">
      <c r="A1" t="s">
        <v>0</v>
      </c>
      <c r="B1" t="s">
        <v>1</v>
      </c>
      <c r="C1" t="s">
        <v>2</v>
      </c>
      <c r="D1" t="s">
        <v>3</v>
      </c>
      <c r="E1" t="s">
        <v>4</v>
      </c>
      <c r="F1" t="s">
        <v>5</v>
      </c>
      <c r="G1" t="s">
        <v>6</v>
      </c>
      <c r="H1" t="s">
        <v>7</v>
      </c>
      <c r="I1" t="s">
        <v>8</v>
      </c>
    </row>
    <row r="2" spans="1:9">
      <c r="A2">
        <v>1</v>
      </c>
      <c r="B2">
        <v>1</v>
      </c>
      <c r="C2" t="s">
        <v>9</v>
      </c>
      <c r="D2" t="s">
        <v>10</v>
      </c>
      <c r="E2" s="1">
        <v>45601</v>
      </c>
      <c r="F2" t="s">
        <v>11</v>
      </c>
      <c r="G2" t="s">
        <v>12</v>
      </c>
      <c r="H2" t="s">
        <v>13</v>
      </c>
      <c r="I2" s="1">
        <v>45995.989292777776</v>
      </c>
    </row>
    <row r="3" spans="1:9">
      <c r="A3">
        <v>2</v>
      </c>
      <c r="B3">
        <v>2</v>
      </c>
      <c r="C3" t="s">
        <v>14</v>
      </c>
      <c r="D3" t="s">
        <v>15</v>
      </c>
      <c r="E3" s="1">
        <v>45600</v>
      </c>
      <c r="F3" t="s">
        <v>16</v>
      </c>
      <c r="G3" t="s">
        <v>17</v>
      </c>
      <c r="H3" t="s">
        <v>18</v>
      </c>
      <c r="I3" s="1">
        <v>45995.989292777776</v>
      </c>
    </row>
    <row r="4" spans="1:9">
      <c r="A4">
        <v>3</v>
      </c>
      <c r="B4">
        <v>3</v>
      </c>
      <c r="C4" t="s">
        <v>19</v>
      </c>
      <c r="D4" t="s">
        <v>20</v>
      </c>
      <c r="E4" s="1">
        <v>45602</v>
      </c>
      <c r="F4" t="s">
        <v>21</v>
      </c>
      <c r="G4" t="s">
        <v>22</v>
      </c>
      <c r="H4" t="s">
        <v>23</v>
      </c>
      <c r="I4" s="1">
        <v>45995.989292777776</v>
      </c>
    </row>
    <row r="5" spans="1:9">
      <c r="A5">
        <v>4</v>
      </c>
      <c r="B5">
        <v>4</v>
      </c>
      <c r="C5" t="s">
        <v>24</v>
      </c>
      <c r="D5" t="s">
        <v>25</v>
      </c>
      <c r="E5" s="1">
        <v>45596</v>
      </c>
      <c r="F5" t="s">
        <v>26</v>
      </c>
      <c r="G5" t="s">
        <v>27</v>
      </c>
      <c r="H5" t="s">
        <v>28</v>
      </c>
      <c r="I5" s="1">
        <v>45995.989292777776</v>
      </c>
    </row>
    <row r="6" spans="1:9">
      <c r="A6">
        <v>5</v>
      </c>
      <c r="B6">
        <v>5</v>
      </c>
      <c r="C6" t="s">
        <v>29</v>
      </c>
      <c r="D6" t="s">
        <v>30</v>
      </c>
      <c r="E6" s="1">
        <v>45603</v>
      </c>
      <c r="F6" t="s">
        <v>31</v>
      </c>
      <c r="G6" t="s">
        <v>32</v>
      </c>
      <c r="H6" t="s">
        <v>18</v>
      </c>
      <c r="I6" s="1">
        <v>45995.989292777776</v>
      </c>
    </row>
    <row r="7" spans="1:9">
      <c r="A7">
        <v>6</v>
      </c>
      <c r="B7">
        <v>6</v>
      </c>
      <c r="C7" t="s">
        <v>33</v>
      </c>
      <c r="D7" t="s">
        <v>34</v>
      </c>
      <c r="E7" s="1">
        <v>45601</v>
      </c>
      <c r="F7" t="s">
        <v>35</v>
      </c>
      <c r="G7" t="s">
        <v>36</v>
      </c>
      <c r="H7" t="s">
        <v>13</v>
      </c>
      <c r="I7" s="1">
        <v>45995.989292777776</v>
      </c>
    </row>
    <row r="8" spans="1:9">
      <c r="A8">
        <v>7</v>
      </c>
      <c r="B8">
        <v>7</v>
      </c>
      <c r="C8" t="s">
        <v>37</v>
      </c>
      <c r="D8" t="s">
        <v>38</v>
      </c>
      <c r="E8" s="1">
        <v>45602</v>
      </c>
      <c r="F8" t="s">
        <v>39</v>
      </c>
      <c r="G8" t="s">
        <v>40</v>
      </c>
      <c r="H8" t="s">
        <v>18</v>
      </c>
      <c r="I8" s="1">
        <v>45995.989292777776</v>
      </c>
    </row>
    <row r="9" spans="1:9">
      <c r="A9">
        <v>8</v>
      </c>
      <c r="B9">
        <v>8</v>
      </c>
      <c r="C9" t="s">
        <v>41</v>
      </c>
      <c r="D9" t="s">
        <v>42</v>
      </c>
      <c r="E9" s="1">
        <v>45595</v>
      </c>
      <c r="F9" t="s">
        <v>43</v>
      </c>
      <c r="G9" t="s">
        <v>44</v>
      </c>
      <c r="H9" t="s">
        <v>28</v>
      </c>
      <c r="I9" s="1">
        <v>45995.989292777776</v>
      </c>
    </row>
    <row r="10" spans="1:9">
      <c r="A10">
        <v>9</v>
      </c>
      <c r="B10">
        <v>9</v>
      </c>
      <c r="C10" t="s">
        <v>45</v>
      </c>
      <c r="D10" t="s">
        <v>46</v>
      </c>
      <c r="E10" s="1">
        <v>45598</v>
      </c>
      <c r="F10" t="s">
        <v>47</v>
      </c>
      <c r="G10" t="s">
        <v>48</v>
      </c>
      <c r="H10" t="s">
        <v>18</v>
      </c>
      <c r="I10" s="1">
        <v>45995.989292777776</v>
      </c>
    </row>
    <row r="11" spans="1:9">
      <c r="A11">
        <v>10</v>
      </c>
      <c r="B11">
        <v>10</v>
      </c>
      <c r="C11" t="s">
        <v>49</v>
      </c>
      <c r="D11" t="s">
        <v>50</v>
      </c>
      <c r="E11" s="1">
        <v>45603</v>
      </c>
      <c r="F11" t="s">
        <v>51</v>
      </c>
      <c r="G11" t="s">
        <v>52</v>
      </c>
      <c r="H11" t="s">
        <v>28</v>
      </c>
      <c r="I11" s="1">
        <v>45995.989292777776</v>
      </c>
    </row>
    <row r="12" spans="1:9">
      <c r="A12">
        <v>11</v>
      </c>
      <c r="B12">
        <v>11</v>
      </c>
      <c r="C12" t="s">
        <v>53</v>
      </c>
      <c r="D12" t="s">
        <v>54</v>
      </c>
      <c r="E12" s="1">
        <v>45604</v>
      </c>
      <c r="F12" t="s">
        <v>55</v>
      </c>
      <c r="G12" t="s">
        <v>56</v>
      </c>
      <c r="H12" t="s">
        <v>13</v>
      </c>
      <c r="I12" s="1">
        <v>45995.989292777776</v>
      </c>
    </row>
    <row r="13" spans="1:9">
      <c r="A13">
        <v>12</v>
      </c>
      <c r="B13">
        <v>12</v>
      </c>
      <c r="C13" t="s">
        <v>57</v>
      </c>
      <c r="D13" t="s">
        <v>58</v>
      </c>
      <c r="E13" s="1">
        <v>45605</v>
      </c>
      <c r="F13" t="s">
        <v>59</v>
      </c>
      <c r="G13" t="s">
        <v>60</v>
      </c>
      <c r="H13" t="s">
        <v>18</v>
      </c>
      <c r="I13" s="1">
        <v>45995.989292777776</v>
      </c>
    </row>
    <row r="14" spans="1:9">
      <c r="A14">
        <v>13</v>
      </c>
      <c r="B14">
        <v>13</v>
      </c>
      <c r="C14" t="s">
        <v>61</v>
      </c>
      <c r="D14" t="s">
        <v>62</v>
      </c>
      <c r="E14" s="1">
        <v>45601</v>
      </c>
      <c r="F14" t="s">
        <v>63</v>
      </c>
      <c r="G14" t="s">
        <v>64</v>
      </c>
      <c r="H14" t="s">
        <v>28</v>
      </c>
      <c r="I14" s="1">
        <v>45995.989292777776</v>
      </c>
    </row>
    <row r="15" spans="1:9">
      <c r="A15">
        <v>14</v>
      </c>
      <c r="B15">
        <v>14</v>
      </c>
      <c r="C15" t="s">
        <v>65</v>
      </c>
      <c r="D15" t="s">
        <v>66</v>
      </c>
      <c r="E15" s="1">
        <v>45602</v>
      </c>
      <c r="F15" t="s">
        <v>67</v>
      </c>
      <c r="G15" t="s">
        <v>68</v>
      </c>
      <c r="H15" t="s">
        <v>13</v>
      </c>
      <c r="I15" s="1">
        <v>45995.989292777776</v>
      </c>
    </row>
    <row r="16" spans="1:9">
      <c r="A16">
        <v>15</v>
      </c>
      <c r="B16">
        <v>15</v>
      </c>
      <c r="C16" t="s">
        <v>69</v>
      </c>
      <c r="D16" t="s">
        <v>70</v>
      </c>
      <c r="E16" s="1">
        <v>45603</v>
      </c>
      <c r="F16" t="s">
        <v>71</v>
      </c>
      <c r="G16" t="s">
        <v>72</v>
      </c>
      <c r="H16" t="s">
        <v>18</v>
      </c>
      <c r="I16" s="1">
        <v>45995.989292777776</v>
      </c>
    </row>
    <row r="17" spans="1:9">
      <c r="A17">
        <v>16</v>
      </c>
      <c r="B17">
        <v>16</v>
      </c>
      <c r="C17" t="s">
        <v>73</v>
      </c>
      <c r="D17" t="s">
        <v>74</v>
      </c>
      <c r="E17" s="1">
        <v>45604</v>
      </c>
      <c r="F17" t="s">
        <v>75</v>
      </c>
      <c r="G17" t="s">
        <v>76</v>
      </c>
      <c r="H17" t="s">
        <v>28</v>
      </c>
      <c r="I17" s="1">
        <v>45995.989292777776</v>
      </c>
    </row>
    <row r="18" spans="1:9">
      <c r="A18">
        <v>17</v>
      </c>
      <c r="B18">
        <v>17</v>
      </c>
      <c r="C18" t="s">
        <v>77</v>
      </c>
      <c r="D18" t="s">
        <v>78</v>
      </c>
      <c r="E18" s="1">
        <v>45605</v>
      </c>
      <c r="F18" t="s">
        <v>79</v>
      </c>
      <c r="G18" t="s">
        <v>80</v>
      </c>
      <c r="H18" t="s">
        <v>23</v>
      </c>
      <c r="I18" s="1">
        <v>45995.989292777776</v>
      </c>
    </row>
    <row r="19" spans="1:9">
      <c r="A19">
        <v>18</v>
      </c>
      <c r="B19">
        <v>18</v>
      </c>
      <c r="C19" t="s">
        <v>81</v>
      </c>
      <c r="D19" t="s">
        <v>82</v>
      </c>
      <c r="E19" s="1">
        <v>45601</v>
      </c>
      <c r="F19" t="s">
        <v>83</v>
      </c>
      <c r="G19" t="s">
        <v>84</v>
      </c>
      <c r="H19" t="s">
        <v>13</v>
      </c>
      <c r="I19" s="1">
        <v>45995.989292777776</v>
      </c>
    </row>
    <row r="20" spans="1:9">
      <c r="A20">
        <v>19</v>
      </c>
      <c r="B20">
        <v>19</v>
      </c>
      <c r="C20" t="s">
        <v>85</v>
      </c>
      <c r="D20" t="s">
        <v>86</v>
      </c>
      <c r="E20" s="1">
        <v>45602</v>
      </c>
      <c r="F20" t="s">
        <v>87</v>
      </c>
      <c r="G20" t="s">
        <v>88</v>
      </c>
      <c r="H20" t="s">
        <v>18</v>
      </c>
      <c r="I20" s="1">
        <v>45995.989292777776</v>
      </c>
    </row>
    <row r="21" spans="1:9">
      <c r="A21">
        <v>20</v>
      </c>
      <c r="B21">
        <v>20</v>
      </c>
      <c r="C21" t="s">
        <v>89</v>
      </c>
      <c r="D21" t="s">
        <v>90</v>
      </c>
      <c r="E21" s="1">
        <v>45603</v>
      </c>
      <c r="F21" t="s">
        <v>91</v>
      </c>
      <c r="G21" t="s">
        <v>92</v>
      </c>
      <c r="H21" t="s">
        <v>28</v>
      </c>
      <c r="I21" s="1">
        <v>45995.989292777776</v>
      </c>
    </row>
    <row r="22" spans="1:9">
      <c r="A22">
        <v>21</v>
      </c>
      <c r="B22">
        <v>21</v>
      </c>
      <c r="C22" t="s">
        <v>93</v>
      </c>
      <c r="D22" t="s">
        <v>94</v>
      </c>
      <c r="E22" s="1">
        <v>45604</v>
      </c>
      <c r="F22" t="s">
        <v>95</v>
      </c>
      <c r="G22" t="s">
        <v>96</v>
      </c>
      <c r="H22" t="s">
        <v>13</v>
      </c>
      <c r="I22" s="1">
        <v>45995.989292777776</v>
      </c>
    </row>
    <row r="23" spans="1:9">
      <c r="A23">
        <v>22</v>
      </c>
      <c r="B23">
        <v>22</v>
      </c>
      <c r="C23" t="s">
        <v>97</v>
      </c>
      <c r="D23" t="s">
        <v>98</v>
      </c>
      <c r="E23" s="1">
        <v>45605</v>
      </c>
      <c r="F23" t="s">
        <v>99</v>
      </c>
      <c r="G23" t="s">
        <v>100</v>
      </c>
      <c r="H23" t="s">
        <v>18</v>
      </c>
      <c r="I23" s="1">
        <v>45995.989292777776</v>
      </c>
    </row>
    <row r="24" spans="1:9">
      <c r="A24">
        <v>23</v>
      </c>
      <c r="B24">
        <v>23</v>
      </c>
      <c r="C24" t="s">
        <v>101</v>
      </c>
      <c r="D24" t="s">
        <v>102</v>
      </c>
      <c r="E24" s="1">
        <v>45601</v>
      </c>
      <c r="F24" t="s">
        <v>103</v>
      </c>
      <c r="G24" t="s">
        <v>104</v>
      </c>
      <c r="H24" t="s">
        <v>28</v>
      </c>
      <c r="I24" s="1">
        <v>45995.989292777776</v>
      </c>
    </row>
    <row r="25" spans="1:9">
      <c r="A25">
        <v>24</v>
      </c>
      <c r="B25">
        <v>24</v>
      </c>
      <c r="C25" t="s">
        <v>105</v>
      </c>
      <c r="D25" t="s">
        <v>106</v>
      </c>
      <c r="E25" s="1">
        <v>45602</v>
      </c>
      <c r="F25" t="s">
        <v>107</v>
      </c>
      <c r="G25" t="s">
        <v>108</v>
      </c>
      <c r="H25" t="s">
        <v>13</v>
      </c>
      <c r="I25" s="1">
        <v>45995.989292777776</v>
      </c>
    </row>
    <row r="26" spans="1:9">
      <c r="A26">
        <v>25</v>
      </c>
      <c r="B26">
        <v>25</v>
      </c>
      <c r="C26" t="s">
        <v>109</v>
      </c>
      <c r="D26" t="s">
        <v>110</v>
      </c>
      <c r="E26" s="1">
        <v>45603</v>
      </c>
      <c r="F26" t="s">
        <v>111</v>
      </c>
      <c r="G26" t="s">
        <v>112</v>
      </c>
      <c r="H26" t="s">
        <v>18</v>
      </c>
      <c r="I26" s="1">
        <v>45995.989292777776</v>
      </c>
    </row>
    <row r="27" spans="1:9">
      <c r="A27">
        <v>26</v>
      </c>
      <c r="B27">
        <v>26</v>
      </c>
      <c r="C27" t="s">
        <v>113</v>
      </c>
      <c r="D27" t="s">
        <v>114</v>
      </c>
      <c r="E27" s="1">
        <v>45604</v>
      </c>
      <c r="F27" t="s">
        <v>115</v>
      </c>
      <c r="G27" t="s">
        <v>116</v>
      </c>
      <c r="H27" t="s">
        <v>28</v>
      </c>
      <c r="I27" s="1">
        <v>45995.989292777776</v>
      </c>
    </row>
    <row r="28" spans="1:9">
      <c r="A28">
        <v>27</v>
      </c>
      <c r="B28">
        <v>27</v>
      </c>
      <c r="C28" t="s">
        <v>117</v>
      </c>
      <c r="D28" t="s">
        <v>118</v>
      </c>
      <c r="E28" s="1">
        <v>45605</v>
      </c>
      <c r="F28" t="s">
        <v>119</v>
      </c>
      <c r="G28" t="s">
        <v>120</v>
      </c>
      <c r="H28" t="s">
        <v>13</v>
      </c>
      <c r="I28" s="1">
        <v>45995.989292777776</v>
      </c>
    </row>
    <row r="29" spans="1:9">
      <c r="A29">
        <v>28</v>
      </c>
      <c r="B29">
        <v>28</v>
      </c>
      <c r="C29" t="s">
        <v>121</v>
      </c>
      <c r="D29" t="s">
        <v>122</v>
      </c>
      <c r="E29" s="1">
        <v>45601</v>
      </c>
      <c r="F29" t="s">
        <v>123</v>
      </c>
      <c r="G29" t="s">
        <v>124</v>
      </c>
      <c r="H29" t="s">
        <v>18</v>
      </c>
      <c r="I29" s="1">
        <v>45995.989292777776</v>
      </c>
    </row>
    <row r="30" spans="1:9">
      <c r="A30">
        <v>29</v>
      </c>
      <c r="B30">
        <v>29</v>
      </c>
      <c r="C30" t="s">
        <v>125</v>
      </c>
      <c r="D30" t="s">
        <v>126</v>
      </c>
      <c r="E30" s="1">
        <v>45602</v>
      </c>
      <c r="F30" t="s">
        <v>127</v>
      </c>
      <c r="G30" t="s">
        <v>128</v>
      </c>
      <c r="H30" t="s">
        <v>28</v>
      </c>
      <c r="I30" s="1">
        <v>45995.989292777776</v>
      </c>
    </row>
    <row r="31" spans="1:9">
      <c r="A31">
        <v>30</v>
      </c>
      <c r="B31">
        <v>30</v>
      </c>
      <c r="C31" t="s">
        <v>129</v>
      </c>
      <c r="D31" t="s">
        <v>130</v>
      </c>
      <c r="E31" s="1">
        <v>45603</v>
      </c>
      <c r="F31" t="s">
        <v>131</v>
      </c>
      <c r="G31" t="s">
        <v>132</v>
      </c>
      <c r="H31" t="s">
        <v>13</v>
      </c>
      <c r="I31" s="1">
        <v>45995.989292777776</v>
      </c>
    </row>
    <row r="32" spans="1:9">
      <c r="A32">
        <v>31</v>
      </c>
      <c r="B32">
        <v>31</v>
      </c>
      <c r="C32" t="s">
        <v>133</v>
      </c>
      <c r="D32" t="s">
        <v>134</v>
      </c>
      <c r="E32" s="1">
        <v>45604</v>
      </c>
      <c r="F32" t="s">
        <v>135</v>
      </c>
      <c r="G32" t="s">
        <v>136</v>
      </c>
      <c r="H32" t="s">
        <v>18</v>
      </c>
      <c r="I32" s="1">
        <v>45995.989292777776</v>
      </c>
    </row>
    <row r="33" spans="1:9">
      <c r="A33">
        <v>32</v>
      </c>
      <c r="B33">
        <v>32</v>
      </c>
      <c r="C33" t="s">
        <v>137</v>
      </c>
      <c r="D33" t="s">
        <v>138</v>
      </c>
      <c r="E33" s="1">
        <v>45605</v>
      </c>
      <c r="F33" t="s">
        <v>139</v>
      </c>
      <c r="G33" t="s">
        <v>140</v>
      </c>
      <c r="H33" t="s">
        <v>28</v>
      </c>
      <c r="I33" s="1">
        <v>45995.989292777776</v>
      </c>
    </row>
    <row r="34" spans="1:9">
      <c r="A34">
        <v>33</v>
      </c>
      <c r="B34">
        <v>33</v>
      </c>
      <c r="C34" t="s">
        <v>141</v>
      </c>
      <c r="D34" t="s">
        <v>142</v>
      </c>
      <c r="E34" s="1">
        <v>45601</v>
      </c>
      <c r="F34" t="s">
        <v>143</v>
      </c>
      <c r="G34" t="s">
        <v>144</v>
      </c>
      <c r="H34" t="s">
        <v>13</v>
      </c>
      <c r="I34" s="1">
        <v>45995.989292777776</v>
      </c>
    </row>
    <row r="35" spans="1:9">
      <c r="A35">
        <v>34</v>
      </c>
      <c r="B35">
        <v>34</v>
      </c>
      <c r="C35" t="s">
        <v>145</v>
      </c>
      <c r="D35" t="s">
        <v>146</v>
      </c>
      <c r="E35" s="1">
        <v>45602</v>
      </c>
      <c r="F35" t="s">
        <v>147</v>
      </c>
      <c r="G35" t="s">
        <v>148</v>
      </c>
      <c r="H35" t="s">
        <v>18</v>
      </c>
      <c r="I35" s="1">
        <v>45995.989292777776</v>
      </c>
    </row>
    <row r="36" spans="1:9">
      <c r="A36">
        <v>35</v>
      </c>
      <c r="B36">
        <v>35</v>
      </c>
      <c r="C36" t="s">
        <v>149</v>
      </c>
      <c r="D36" t="s">
        <v>150</v>
      </c>
      <c r="E36" s="1">
        <v>45603</v>
      </c>
      <c r="F36" t="s">
        <v>151</v>
      </c>
      <c r="G36" t="s">
        <v>152</v>
      </c>
      <c r="H36" t="s">
        <v>28</v>
      </c>
      <c r="I36" s="1">
        <v>45995.989292777776</v>
      </c>
    </row>
    <row r="37" spans="1:9">
      <c r="A37">
        <v>36</v>
      </c>
      <c r="B37">
        <v>36</v>
      </c>
      <c r="C37" t="s">
        <v>153</v>
      </c>
      <c r="D37" t="s">
        <v>154</v>
      </c>
      <c r="E37" s="1">
        <v>45604</v>
      </c>
      <c r="F37" t="s">
        <v>155</v>
      </c>
      <c r="G37" t="s">
        <v>156</v>
      </c>
      <c r="H37" t="s">
        <v>13</v>
      </c>
      <c r="I37" s="1">
        <v>45995.989292777776</v>
      </c>
    </row>
    <row r="38" spans="1:9">
      <c r="A38">
        <v>37</v>
      </c>
      <c r="B38">
        <v>37</v>
      </c>
      <c r="C38" t="s">
        <v>157</v>
      </c>
      <c r="D38" t="s">
        <v>158</v>
      </c>
      <c r="E38" s="1">
        <v>45605</v>
      </c>
      <c r="F38" t="s">
        <v>159</v>
      </c>
      <c r="G38" t="s">
        <v>160</v>
      </c>
      <c r="H38" t="s">
        <v>18</v>
      </c>
      <c r="I38" s="1">
        <v>45995.989292777776</v>
      </c>
    </row>
    <row r="39" spans="1:9">
      <c r="A39">
        <v>38</v>
      </c>
      <c r="B39">
        <v>38</v>
      </c>
      <c r="C39" t="s">
        <v>161</v>
      </c>
      <c r="D39" t="s">
        <v>162</v>
      </c>
      <c r="E39" s="1">
        <v>45601</v>
      </c>
      <c r="F39" t="s">
        <v>163</v>
      </c>
      <c r="G39" t="s">
        <v>164</v>
      </c>
      <c r="H39" t="s">
        <v>28</v>
      </c>
      <c r="I39" s="1">
        <v>45995.989292777776</v>
      </c>
    </row>
    <row r="40" spans="1:9">
      <c r="A40">
        <v>39</v>
      </c>
      <c r="B40">
        <v>39</v>
      </c>
      <c r="C40" t="s">
        <v>165</v>
      </c>
      <c r="D40" t="s">
        <v>166</v>
      </c>
      <c r="E40" s="1">
        <v>45602</v>
      </c>
      <c r="F40" t="s">
        <v>167</v>
      </c>
      <c r="G40" t="s">
        <v>168</v>
      </c>
      <c r="H40" t="s">
        <v>13</v>
      </c>
      <c r="I40" s="1">
        <v>45995.989292777776</v>
      </c>
    </row>
    <row r="41" spans="1:9">
      <c r="A41">
        <v>40</v>
      </c>
      <c r="B41">
        <v>40</v>
      </c>
      <c r="C41" t="s">
        <v>169</v>
      </c>
      <c r="D41" t="s">
        <v>170</v>
      </c>
      <c r="E41" s="1">
        <v>45603</v>
      </c>
      <c r="F41" t="s">
        <v>171</v>
      </c>
      <c r="G41" t="s">
        <v>172</v>
      </c>
      <c r="H41" t="s">
        <v>18</v>
      </c>
      <c r="I41" s="1">
        <v>45995.989292777776</v>
      </c>
    </row>
    <row r="42" spans="1:9">
      <c r="A42">
        <v>41</v>
      </c>
      <c r="B42">
        <v>41</v>
      </c>
      <c r="C42" t="s">
        <v>173</v>
      </c>
      <c r="D42" t="s">
        <v>174</v>
      </c>
      <c r="E42" s="1">
        <v>45604</v>
      </c>
      <c r="F42" t="s">
        <v>175</v>
      </c>
      <c r="G42" t="s">
        <v>176</v>
      </c>
      <c r="H42" t="s">
        <v>28</v>
      </c>
      <c r="I42" s="1">
        <v>45995.989292777776</v>
      </c>
    </row>
    <row r="43" spans="1:9">
      <c r="A43">
        <v>42</v>
      </c>
      <c r="B43">
        <v>42</v>
      </c>
      <c r="C43" t="s">
        <v>177</v>
      </c>
      <c r="D43" t="s">
        <v>178</v>
      </c>
      <c r="E43" s="1">
        <v>45605</v>
      </c>
      <c r="F43" t="s">
        <v>179</v>
      </c>
      <c r="G43" t="s">
        <v>180</v>
      </c>
      <c r="H43" t="s">
        <v>13</v>
      </c>
      <c r="I43" s="1">
        <v>45995.989292777776</v>
      </c>
    </row>
    <row r="44" spans="1:9">
      <c r="A44">
        <v>43</v>
      </c>
      <c r="B44">
        <v>43</v>
      </c>
      <c r="C44" t="s">
        <v>181</v>
      </c>
      <c r="D44" t="s">
        <v>182</v>
      </c>
      <c r="E44" s="1">
        <v>45601</v>
      </c>
      <c r="F44" t="s">
        <v>183</v>
      </c>
      <c r="G44" t="s">
        <v>184</v>
      </c>
      <c r="H44" t="s">
        <v>18</v>
      </c>
      <c r="I44" s="1">
        <v>45995.989292777776</v>
      </c>
    </row>
    <row r="45" spans="1:9">
      <c r="A45">
        <v>44</v>
      </c>
      <c r="B45">
        <v>44</v>
      </c>
      <c r="C45" t="s">
        <v>185</v>
      </c>
      <c r="D45" t="s">
        <v>186</v>
      </c>
      <c r="E45" s="1">
        <v>45602</v>
      </c>
      <c r="F45" t="s">
        <v>187</v>
      </c>
      <c r="G45" t="s">
        <v>188</v>
      </c>
      <c r="H45" t="s">
        <v>28</v>
      </c>
      <c r="I45" s="1">
        <v>45995.989292777776</v>
      </c>
    </row>
    <row r="46" spans="1:9">
      <c r="A46">
        <v>45</v>
      </c>
      <c r="B46">
        <v>45</v>
      </c>
      <c r="C46" t="s">
        <v>189</v>
      </c>
      <c r="D46" t="s">
        <v>190</v>
      </c>
      <c r="E46" s="1">
        <v>45603</v>
      </c>
      <c r="F46" t="s">
        <v>191</v>
      </c>
      <c r="G46" t="s">
        <v>192</v>
      </c>
      <c r="H46" t="s">
        <v>13</v>
      </c>
      <c r="I46" s="1">
        <v>45995.989292777776</v>
      </c>
    </row>
    <row r="47" spans="1:9">
      <c r="A47">
        <v>46</v>
      </c>
      <c r="B47">
        <v>46</v>
      </c>
      <c r="C47" t="s">
        <v>193</v>
      </c>
      <c r="D47" t="s">
        <v>194</v>
      </c>
      <c r="E47" s="1">
        <v>45604</v>
      </c>
      <c r="F47" t="s">
        <v>195</v>
      </c>
      <c r="G47" t="s">
        <v>196</v>
      </c>
      <c r="H47" t="s">
        <v>18</v>
      </c>
      <c r="I47" s="1">
        <v>45995.989292777776</v>
      </c>
    </row>
    <row r="48" spans="1:9">
      <c r="A48">
        <v>47</v>
      </c>
      <c r="B48">
        <v>47</v>
      </c>
      <c r="C48" t="s">
        <v>197</v>
      </c>
      <c r="D48" t="s">
        <v>198</v>
      </c>
      <c r="E48" s="1">
        <v>45605</v>
      </c>
      <c r="F48" t="s">
        <v>199</v>
      </c>
      <c r="G48" t="s">
        <v>200</v>
      </c>
      <c r="H48" t="s">
        <v>28</v>
      </c>
      <c r="I48" s="1">
        <v>45995.989292777776</v>
      </c>
    </row>
    <row r="49" spans="1:9">
      <c r="A49">
        <v>48</v>
      </c>
      <c r="B49">
        <v>48</v>
      </c>
      <c r="C49" t="s">
        <v>201</v>
      </c>
      <c r="D49" t="s">
        <v>202</v>
      </c>
      <c r="E49" s="1">
        <v>45601</v>
      </c>
      <c r="F49" t="s">
        <v>203</v>
      </c>
      <c r="G49" t="s">
        <v>204</v>
      </c>
      <c r="H49" t="s">
        <v>13</v>
      </c>
      <c r="I49" s="1">
        <v>45995.989292777776</v>
      </c>
    </row>
    <row r="50" spans="1:9">
      <c r="A50">
        <v>49</v>
      </c>
      <c r="B50">
        <v>49</v>
      </c>
      <c r="C50" t="s">
        <v>205</v>
      </c>
      <c r="D50" t="s">
        <v>206</v>
      </c>
      <c r="E50" s="1">
        <v>45602</v>
      </c>
      <c r="F50" t="s">
        <v>207</v>
      </c>
      <c r="G50" t="s">
        <v>208</v>
      </c>
      <c r="H50" t="s">
        <v>18</v>
      </c>
      <c r="I50" s="1">
        <v>45995.989292777776</v>
      </c>
    </row>
    <row r="51" spans="1:9">
      <c r="A51">
        <v>50</v>
      </c>
      <c r="B51">
        <v>50</v>
      </c>
      <c r="C51" t="s">
        <v>209</v>
      </c>
      <c r="D51" t="s">
        <v>210</v>
      </c>
      <c r="E51" s="1">
        <v>45603</v>
      </c>
      <c r="F51" t="s">
        <v>211</v>
      </c>
      <c r="G51" t="s">
        <v>212</v>
      </c>
      <c r="H51" t="s">
        <v>28</v>
      </c>
      <c r="I51" s="1">
        <v>45995.989292777776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98DB-DBB0-48B9-9A1B-B1BC2D7ACBBB}">
  <dimension ref="A1:G53"/>
  <sheetViews>
    <sheetView topLeftCell="A40" workbookViewId="0">
      <selection activeCell="B42" sqref="B42"/>
    </sheetView>
  </sheetViews>
  <sheetFormatPr defaultRowHeight="13.8"/>
  <cols>
    <col min="1" max="1" width="13.296875" bestFit="1" customWidth="1"/>
    <col min="2" max="2" width="22.69921875" bestFit="1" customWidth="1"/>
    <col min="3" max="3" width="19.796875" bestFit="1" customWidth="1"/>
    <col min="4" max="4" width="15" bestFit="1" customWidth="1"/>
    <col min="5" max="5" width="22.09765625" bestFit="1" customWidth="1"/>
    <col min="6" max="6" width="29.19921875" bestFit="1" customWidth="1"/>
    <col min="7" max="7" width="14.296875" bestFit="1" customWidth="1"/>
  </cols>
  <sheetData>
    <row r="1" spans="1:7">
      <c r="A1" t="s">
        <v>213</v>
      </c>
      <c r="B1" t="s">
        <v>214</v>
      </c>
      <c r="C1" t="s">
        <v>215</v>
      </c>
      <c r="D1" t="s">
        <v>216</v>
      </c>
      <c r="E1" t="s">
        <v>217</v>
      </c>
      <c r="F1" t="s">
        <v>218</v>
      </c>
      <c r="G1" t="s">
        <v>219</v>
      </c>
    </row>
    <row r="2" spans="1:7">
      <c r="A2">
        <v>1</v>
      </c>
      <c r="B2" t="s">
        <v>220</v>
      </c>
      <c r="C2" t="s">
        <v>221</v>
      </c>
      <c r="D2" t="s">
        <v>222</v>
      </c>
      <c r="E2" t="s">
        <v>223</v>
      </c>
      <c r="F2" t="s">
        <v>224</v>
      </c>
      <c r="G2" s="1">
        <v>44941</v>
      </c>
    </row>
    <row r="3" spans="1:7">
      <c r="A3">
        <v>2</v>
      </c>
      <c r="B3" t="s">
        <v>225</v>
      </c>
      <c r="C3" t="s">
        <v>221</v>
      </c>
      <c r="D3" t="s">
        <v>226</v>
      </c>
      <c r="E3" t="s">
        <v>223</v>
      </c>
      <c r="F3" t="s">
        <v>227</v>
      </c>
      <c r="G3" s="1">
        <v>44967</v>
      </c>
    </row>
    <row r="4" spans="1:7">
      <c r="A4">
        <v>3</v>
      </c>
      <c r="B4" t="s">
        <v>228</v>
      </c>
      <c r="C4" t="s">
        <v>221</v>
      </c>
      <c r="D4" t="s">
        <v>222</v>
      </c>
      <c r="E4" t="s">
        <v>229</v>
      </c>
      <c r="F4" t="s">
        <v>230</v>
      </c>
      <c r="G4" s="1">
        <v>44990</v>
      </c>
    </row>
    <row r="5" spans="1:7">
      <c r="A5">
        <v>4</v>
      </c>
      <c r="B5" t="s">
        <v>231</v>
      </c>
      <c r="C5" t="s">
        <v>221</v>
      </c>
      <c r="D5" t="s">
        <v>232</v>
      </c>
      <c r="E5" t="s">
        <v>233</v>
      </c>
      <c r="F5" t="s">
        <v>234</v>
      </c>
      <c r="G5" s="1">
        <v>45036</v>
      </c>
    </row>
    <row r="6" spans="1:7">
      <c r="A6">
        <v>5</v>
      </c>
      <c r="B6" t="s">
        <v>235</v>
      </c>
      <c r="C6" t="s">
        <v>221</v>
      </c>
      <c r="D6" t="s">
        <v>232</v>
      </c>
      <c r="E6" t="s">
        <v>236</v>
      </c>
      <c r="F6" t="s">
        <v>237</v>
      </c>
      <c r="G6" s="1">
        <v>45058</v>
      </c>
    </row>
    <row r="7" spans="1:7">
      <c r="A7">
        <v>6</v>
      </c>
      <c r="B7" t="s">
        <v>238</v>
      </c>
      <c r="C7" t="s">
        <v>221</v>
      </c>
      <c r="D7" t="s">
        <v>232</v>
      </c>
      <c r="E7" t="s">
        <v>239</v>
      </c>
      <c r="F7" t="s">
        <v>240</v>
      </c>
      <c r="G7" s="1">
        <v>45085</v>
      </c>
    </row>
    <row r="8" spans="1:7">
      <c r="A8">
        <v>7</v>
      </c>
      <c r="B8" t="s">
        <v>241</v>
      </c>
      <c r="C8" t="s">
        <v>221</v>
      </c>
      <c r="D8" t="s">
        <v>232</v>
      </c>
      <c r="E8" t="s">
        <v>242</v>
      </c>
      <c r="F8" t="s">
        <v>243</v>
      </c>
      <c r="G8" s="1">
        <v>45121</v>
      </c>
    </row>
    <row r="9" spans="1:7">
      <c r="A9">
        <v>8</v>
      </c>
      <c r="B9" t="s">
        <v>244</v>
      </c>
      <c r="C9" t="s">
        <v>221</v>
      </c>
      <c r="D9" t="s">
        <v>232</v>
      </c>
      <c r="E9" t="s">
        <v>245</v>
      </c>
      <c r="F9" t="s">
        <v>246</v>
      </c>
      <c r="G9" s="1">
        <v>45160</v>
      </c>
    </row>
    <row r="10" spans="1:7">
      <c r="A10">
        <v>9</v>
      </c>
      <c r="B10" t="s">
        <v>247</v>
      </c>
      <c r="C10" t="s">
        <v>221</v>
      </c>
      <c r="D10" t="s">
        <v>222</v>
      </c>
      <c r="E10" t="s">
        <v>248</v>
      </c>
      <c r="F10" t="s">
        <v>249</v>
      </c>
      <c r="G10" s="1">
        <v>45187</v>
      </c>
    </row>
    <row r="11" spans="1:7">
      <c r="A11">
        <v>10</v>
      </c>
      <c r="B11" t="s">
        <v>250</v>
      </c>
      <c r="C11" t="s">
        <v>221</v>
      </c>
      <c r="D11" t="s">
        <v>232</v>
      </c>
      <c r="E11" t="s">
        <v>251</v>
      </c>
      <c r="F11" t="s">
        <v>252</v>
      </c>
      <c r="G11" s="1">
        <v>45229</v>
      </c>
    </row>
    <row r="12" spans="1:7">
      <c r="A12">
        <v>11</v>
      </c>
      <c r="B12" t="s">
        <v>253</v>
      </c>
      <c r="C12" t="s">
        <v>221</v>
      </c>
      <c r="D12" t="s">
        <v>232</v>
      </c>
      <c r="E12" t="s">
        <v>254</v>
      </c>
      <c r="F12" t="s">
        <v>255</v>
      </c>
      <c r="G12" s="1">
        <v>45235</v>
      </c>
    </row>
    <row r="13" spans="1:7">
      <c r="A13">
        <v>12</v>
      </c>
      <c r="B13" t="s">
        <v>256</v>
      </c>
      <c r="C13" t="s">
        <v>221</v>
      </c>
      <c r="D13" t="s">
        <v>232</v>
      </c>
      <c r="E13" t="s">
        <v>257</v>
      </c>
      <c r="F13" t="s">
        <v>258</v>
      </c>
      <c r="G13" s="1">
        <v>45261</v>
      </c>
    </row>
    <row r="14" spans="1:7">
      <c r="A14">
        <v>13</v>
      </c>
      <c r="B14" t="s">
        <v>259</v>
      </c>
      <c r="C14" t="s">
        <v>221</v>
      </c>
      <c r="D14" t="s">
        <v>232</v>
      </c>
      <c r="E14" t="s">
        <v>260</v>
      </c>
      <c r="F14" t="s">
        <v>261</v>
      </c>
      <c r="G14" s="1">
        <v>45301</v>
      </c>
    </row>
    <row r="15" spans="1:7">
      <c r="A15">
        <v>14</v>
      </c>
      <c r="B15" t="s">
        <v>262</v>
      </c>
      <c r="C15" t="s">
        <v>221</v>
      </c>
      <c r="D15" t="s">
        <v>232</v>
      </c>
      <c r="E15" t="s">
        <v>263</v>
      </c>
      <c r="F15" t="s">
        <v>264</v>
      </c>
      <c r="G15" s="1">
        <v>45316</v>
      </c>
    </row>
    <row r="16" spans="1:7">
      <c r="A16">
        <v>15</v>
      </c>
      <c r="B16" t="s">
        <v>265</v>
      </c>
      <c r="C16" t="s">
        <v>221</v>
      </c>
      <c r="D16" t="s">
        <v>232</v>
      </c>
      <c r="E16" t="s">
        <v>266</v>
      </c>
      <c r="F16" t="s">
        <v>267</v>
      </c>
      <c r="G16" s="1">
        <v>45325</v>
      </c>
    </row>
    <row r="17" spans="1:7">
      <c r="A17">
        <v>16</v>
      </c>
      <c r="B17" t="s">
        <v>268</v>
      </c>
      <c r="C17" t="s">
        <v>221</v>
      </c>
      <c r="D17" t="s">
        <v>232</v>
      </c>
      <c r="E17" t="s">
        <v>269</v>
      </c>
      <c r="F17" t="s">
        <v>270</v>
      </c>
      <c r="G17" s="1">
        <v>45340</v>
      </c>
    </row>
    <row r="18" spans="1:7">
      <c r="A18">
        <v>17</v>
      </c>
      <c r="B18" t="s">
        <v>271</v>
      </c>
      <c r="C18" t="s">
        <v>272</v>
      </c>
      <c r="D18" t="s">
        <v>222</v>
      </c>
      <c r="E18" t="s">
        <v>223</v>
      </c>
      <c r="F18" t="s">
        <v>273</v>
      </c>
      <c r="G18" s="1">
        <v>45358</v>
      </c>
    </row>
    <row r="19" spans="1:7">
      <c r="A19">
        <v>18</v>
      </c>
      <c r="B19" t="s">
        <v>274</v>
      </c>
      <c r="C19" t="s">
        <v>275</v>
      </c>
      <c r="D19" t="s">
        <v>222</v>
      </c>
      <c r="E19" t="s">
        <v>229</v>
      </c>
      <c r="F19" t="s">
        <v>276</v>
      </c>
      <c r="G19" s="1">
        <v>45373</v>
      </c>
    </row>
    <row r="20" spans="1:7">
      <c r="A20">
        <v>19</v>
      </c>
      <c r="B20" t="s">
        <v>277</v>
      </c>
      <c r="C20" t="s">
        <v>278</v>
      </c>
      <c r="D20" t="s">
        <v>222</v>
      </c>
      <c r="E20" t="s">
        <v>233</v>
      </c>
      <c r="F20" t="s">
        <v>279</v>
      </c>
      <c r="G20" s="1">
        <v>45387</v>
      </c>
    </row>
    <row r="21" spans="1:7">
      <c r="A21">
        <v>20</v>
      </c>
      <c r="B21" t="s">
        <v>280</v>
      </c>
      <c r="C21" t="s">
        <v>281</v>
      </c>
      <c r="D21" t="s">
        <v>232</v>
      </c>
      <c r="E21" t="s">
        <v>242</v>
      </c>
      <c r="F21" t="s">
        <v>282</v>
      </c>
      <c r="G21" s="1">
        <v>45402</v>
      </c>
    </row>
    <row r="22" spans="1:7">
      <c r="A22">
        <v>21</v>
      </c>
      <c r="B22" t="s">
        <v>283</v>
      </c>
      <c r="C22" t="s">
        <v>284</v>
      </c>
      <c r="D22" t="s">
        <v>232</v>
      </c>
      <c r="E22" t="s">
        <v>260</v>
      </c>
      <c r="F22" t="s">
        <v>285</v>
      </c>
      <c r="G22" s="1">
        <v>45415</v>
      </c>
    </row>
    <row r="23" spans="1:7">
      <c r="A23">
        <v>22</v>
      </c>
      <c r="B23" t="s">
        <v>286</v>
      </c>
      <c r="C23" t="s">
        <v>287</v>
      </c>
      <c r="D23" t="s">
        <v>226</v>
      </c>
      <c r="E23" t="s">
        <v>223</v>
      </c>
      <c r="F23" t="s">
        <v>288</v>
      </c>
      <c r="G23" s="1">
        <v>45429</v>
      </c>
    </row>
    <row r="24" spans="1:7">
      <c r="A24">
        <v>23</v>
      </c>
      <c r="B24" t="s">
        <v>289</v>
      </c>
      <c r="C24" t="s">
        <v>290</v>
      </c>
      <c r="D24" t="s">
        <v>222</v>
      </c>
      <c r="E24" t="s">
        <v>248</v>
      </c>
      <c r="F24" t="s">
        <v>291</v>
      </c>
      <c r="G24" s="1">
        <v>45445</v>
      </c>
    </row>
    <row r="25" spans="1:7">
      <c r="A25">
        <v>24</v>
      </c>
      <c r="B25" t="s">
        <v>292</v>
      </c>
      <c r="C25" t="s">
        <v>278</v>
      </c>
      <c r="D25" t="s">
        <v>222</v>
      </c>
      <c r="E25" t="s">
        <v>239</v>
      </c>
      <c r="F25" t="s">
        <v>293</v>
      </c>
      <c r="G25" s="1">
        <v>45462</v>
      </c>
    </row>
    <row r="26" spans="1:7">
      <c r="A26">
        <v>25</v>
      </c>
      <c r="B26" t="s">
        <v>294</v>
      </c>
      <c r="C26" t="s">
        <v>295</v>
      </c>
      <c r="D26" t="s">
        <v>232</v>
      </c>
      <c r="E26" t="s">
        <v>245</v>
      </c>
      <c r="F26" t="s">
        <v>296</v>
      </c>
      <c r="G26" s="1">
        <v>45477</v>
      </c>
    </row>
    <row r="27" spans="1:7">
      <c r="A27">
        <v>26</v>
      </c>
      <c r="B27" t="s">
        <v>297</v>
      </c>
      <c r="C27" t="s">
        <v>298</v>
      </c>
      <c r="D27" t="s">
        <v>232</v>
      </c>
      <c r="E27" t="s">
        <v>251</v>
      </c>
      <c r="F27" t="s">
        <v>299</v>
      </c>
      <c r="G27" s="1">
        <v>45494</v>
      </c>
    </row>
    <row r="28" spans="1:7">
      <c r="A28">
        <v>27</v>
      </c>
      <c r="B28" t="s">
        <v>300</v>
      </c>
      <c r="C28" t="s">
        <v>301</v>
      </c>
      <c r="D28" t="s">
        <v>232</v>
      </c>
      <c r="E28" t="s">
        <v>254</v>
      </c>
      <c r="F28" t="s">
        <v>302</v>
      </c>
      <c r="G28" s="1">
        <v>45512</v>
      </c>
    </row>
    <row r="29" spans="1:7">
      <c r="A29">
        <v>28</v>
      </c>
      <c r="B29" t="s">
        <v>303</v>
      </c>
      <c r="C29" t="s">
        <v>304</v>
      </c>
      <c r="D29" t="s">
        <v>232</v>
      </c>
      <c r="E29" t="s">
        <v>257</v>
      </c>
      <c r="F29" t="s">
        <v>305</v>
      </c>
      <c r="G29" s="1">
        <v>45529</v>
      </c>
    </row>
    <row r="30" spans="1:7">
      <c r="A30">
        <v>29</v>
      </c>
      <c r="B30" t="s">
        <v>306</v>
      </c>
      <c r="C30" t="s">
        <v>281</v>
      </c>
      <c r="D30" t="s">
        <v>232</v>
      </c>
      <c r="E30" t="s">
        <v>266</v>
      </c>
      <c r="F30" t="s">
        <v>307</v>
      </c>
      <c r="G30" s="1">
        <v>45546</v>
      </c>
    </row>
    <row r="31" spans="1:7">
      <c r="A31">
        <v>30</v>
      </c>
      <c r="B31" t="s">
        <v>308</v>
      </c>
      <c r="C31" t="s">
        <v>309</v>
      </c>
      <c r="D31" t="s">
        <v>232</v>
      </c>
      <c r="E31" t="s">
        <v>223</v>
      </c>
      <c r="F31" t="s">
        <v>310</v>
      </c>
      <c r="G31" s="1">
        <v>45563</v>
      </c>
    </row>
    <row r="32" spans="1:7">
      <c r="A32">
        <v>31</v>
      </c>
      <c r="B32" t="s">
        <v>311</v>
      </c>
      <c r="C32" t="s">
        <v>312</v>
      </c>
      <c r="D32" t="s">
        <v>232</v>
      </c>
      <c r="E32" t="s">
        <v>229</v>
      </c>
      <c r="F32" t="s">
        <v>313</v>
      </c>
      <c r="G32" s="1">
        <v>45580</v>
      </c>
    </row>
    <row r="33" spans="1:7">
      <c r="A33">
        <v>32</v>
      </c>
      <c r="B33" t="s">
        <v>314</v>
      </c>
      <c r="C33" t="s">
        <v>315</v>
      </c>
      <c r="D33" t="s">
        <v>232</v>
      </c>
      <c r="E33" t="s">
        <v>233</v>
      </c>
      <c r="F33" t="s">
        <v>316</v>
      </c>
      <c r="G33" s="1">
        <v>45595</v>
      </c>
    </row>
    <row r="34" spans="1:7">
      <c r="A34">
        <v>33</v>
      </c>
      <c r="B34" t="s">
        <v>317</v>
      </c>
      <c r="C34" t="s">
        <v>275</v>
      </c>
      <c r="D34" t="s">
        <v>232</v>
      </c>
      <c r="E34" t="s">
        <v>242</v>
      </c>
      <c r="F34" t="s">
        <v>318</v>
      </c>
      <c r="G34" s="1">
        <v>45608</v>
      </c>
    </row>
    <row r="35" spans="1:7">
      <c r="A35">
        <v>34</v>
      </c>
      <c r="B35" t="s">
        <v>319</v>
      </c>
      <c r="C35" t="s">
        <v>320</v>
      </c>
      <c r="D35" t="s">
        <v>232</v>
      </c>
      <c r="E35" t="s">
        <v>260</v>
      </c>
      <c r="F35" t="s">
        <v>321</v>
      </c>
      <c r="G35" s="1">
        <v>45623</v>
      </c>
    </row>
    <row r="36" spans="1:7">
      <c r="A36">
        <v>35</v>
      </c>
      <c r="B36" t="s">
        <v>322</v>
      </c>
      <c r="C36" t="s">
        <v>323</v>
      </c>
      <c r="D36" t="s">
        <v>232</v>
      </c>
      <c r="E36" t="s">
        <v>269</v>
      </c>
      <c r="F36" t="s">
        <v>324</v>
      </c>
      <c r="G36" s="1">
        <v>45636</v>
      </c>
    </row>
    <row r="37" spans="1:7">
      <c r="A37">
        <v>36</v>
      </c>
      <c r="B37" t="s">
        <v>325</v>
      </c>
      <c r="C37" t="s">
        <v>301</v>
      </c>
      <c r="D37" t="s">
        <v>232</v>
      </c>
      <c r="E37" t="s">
        <v>263</v>
      </c>
      <c r="F37" t="s">
        <v>326</v>
      </c>
      <c r="G37" s="1">
        <v>45650</v>
      </c>
    </row>
    <row r="38" spans="1:7">
      <c r="A38">
        <v>37</v>
      </c>
      <c r="B38" t="s">
        <v>327</v>
      </c>
      <c r="C38" t="s">
        <v>272</v>
      </c>
      <c r="D38" t="s">
        <v>226</v>
      </c>
      <c r="E38" t="s">
        <v>223</v>
      </c>
      <c r="F38" t="s">
        <v>328</v>
      </c>
      <c r="G38" s="1">
        <v>45664</v>
      </c>
    </row>
    <row r="39" spans="1:7">
      <c r="A39">
        <v>38</v>
      </c>
      <c r="B39" t="s">
        <v>329</v>
      </c>
      <c r="C39" t="s">
        <v>330</v>
      </c>
      <c r="D39" t="s">
        <v>232</v>
      </c>
      <c r="E39" t="s">
        <v>245</v>
      </c>
      <c r="F39" t="s">
        <v>331</v>
      </c>
      <c r="G39" s="1">
        <v>45678</v>
      </c>
    </row>
    <row r="40" spans="1:7">
      <c r="A40">
        <v>39</v>
      </c>
      <c r="B40" t="s">
        <v>332</v>
      </c>
      <c r="C40" t="s">
        <v>333</v>
      </c>
      <c r="D40" t="s">
        <v>232</v>
      </c>
      <c r="E40" t="s">
        <v>239</v>
      </c>
      <c r="F40" t="s">
        <v>334</v>
      </c>
      <c r="G40" s="1">
        <v>45692</v>
      </c>
    </row>
    <row r="41" spans="1:7">
      <c r="A41">
        <v>40</v>
      </c>
      <c r="B41" t="s">
        <v>335</v>
      </c>
      <c r="C41" t="s">
        <v>336</v>
      </c>
      <c r="D41" t="s">
        <v>232</v>
      </c>
      <c r="E41" t="s">
        <v>251</v>
      </c>
      <c r="F41" t="s">
        <v>337</v>
      </c>
      <c r="G41" s="1">
        <v>45706</v>
      </c>
    </row>
    <row r="42" spans="1:7">
      <c r="A42">
        <v>41</v>
      </c>
      <c r="B42" t="s">
        <v>338</v>
      </c>
      <c r="C42" t="s">
        <v>339</v>
      </c>
      <c r="D42" t="s">
        <v>232</v>
      </c>
      <c r="E42" t="s">
        <v>254</v>
      </c>
      <c r="F42" t="s">
        <v>340</v>
      </c>
      <c r="G42" s="1">
        <v>45720</v>
      </c>
    </row>
    <row r="43" spans="1:7">
      <c r="A43">
        <v>42</v>
      </c>
      <c r="B43" t="s">
        <v>341</v>
      </c>
      <c r="C43" t="s">
        <v>342</v>
      </c>
      <c r="D43" t="s">
        <v>232</v>
      </c>
      <c r="E43" t="s">
        <v>257</v>
      </c>
      <c r="F43" t="s">
        <v>343</v>
      </c>
      <c r="G43" s="1">
        <v>45736</v>
      </c>
    </row>
    <row r="44" spans="1:7">
      <c r="A44">
        <v>43</v>
      </c>
      <c r="B44" t="s">
        <v>344</v>
      </c>
      <c r="C44" t="s">
        <v>345</v>
      </c>
      <c r="D44" t="s">
        <v>232</v>
      </c>
      <c r="E44" t="s">
        <v>266</v>
      </c>
      <c r="F44" t="s">
        <v>346</v>
      </c>
      <c r="G44" s="1">
        <v>45750</v>
      </c>
    </row>
    <row r="45" spans="1:7">
      <c r="A45">
        <v>44</v>
      </c>
      <c r="B45" t="s">
        <v>347</v>
      </c>
      <c r="C45" t="s">
        <v>348</v>
      </c>
      <c r="D45" t="s">
        <v>232</v>
      </c>
      <c r="E45" t="s">
        <v>223</v>
      </c>
      <c r="F45" t="s">
        <v>349</v>
      </c>
      <c r="G45" s="1">
        <v>45764</v>
      </c>
    </row>
    <row r="46" spans="1:7">
      <c r="A46">
        <v>45</v>
      </c>
      <c r="B46" t="s">
        <v>350</v>
      </c>
      <c r="C46" t="s">
        <v>351</v>
      </c>
      <c r="D46" t="s">
        <v>232</v>
      </c>
      <c r="E46" t="s">
        <v>229</v>
      </c>
      <c r="F46" t="s">
        <v>352</v>
      </c>
      <c r="G46" s="1">
        <v>45778</v>
      </c>
    </row>
    <row r="47" spans="1:7">
      <c r="A47">
        <v>46</v>
      </c>
      <c r="B47" t="s">
        <v>353</v>
      </c>
      <c r="C47" t="s">
        <v>354</v>
      </c>
      <c r="D47" t="s">
        <v>232</v>
      </c>
      <c r="E47" t="s">
        <v>233</v>
      </c>
      <c r="F47" t="s">
        <v>355</v>
      </c>
      <c r="G47" s="1">
        <v>45792</v>
      </c>
    </row>
    <row r="48" spans="1:7">
      <c r="A48">
        <v>47</v>
      </c>
      <c r="B48" t="s">
        <v>356</v>
      </c>
      <c r="C48" t="s">
        <v>357</v>
      </c>
      <c r="D48" t="s">
        <v>232</v>
      </c>
      <c r="E48" t="s">
        <v>242</v>
      </c>
      <c r="F48" t="s">
        <v>358</v>
      </c>
      <c r="G48" s="1">
        <v>45806</v>
      </c>
    </row>
    <row r="49" spans="1:7">
      <c r="A49">
        <v>48</v>
      </c>
      <c r="B49" t="s">
        <v>359</v>
      </c>
      <c r="C49" t="s">
        <v>360</v>
      </c>
      <c r="D49" t="s">
        <v>232</v>
      </c>
      <c r="E49" t="s">
        <v>260</v>
      </c>
      <c r="F49" t="s">
        <v>361</v>
      </c>
      <c r="G49" s="1">
        <v>45820</v>
      </c>
    </row>
    <row r="50" spans="1:7">
      <c r="A50">
        <v>49</v>
      </c>
      <c r="B50" t="s">
        <v>362</v>
      </c>
      <c r="C50" t="s">
        <v>363</v>
      </c>
      <c r="D50" t="s">
        <v>232</v>
      </c>
      <c r="E50" t="s">
        <v>248</v>
      </c>
      <c r="F50" t="s">
        <v>364</v>
      </c>
      <c r="G50" s="1">
        <v>45834</v>
      </c>
    </row>
    <row r="51" spans="1:7">
      <c r="A51">
        <v>50</v>
      </c>
      <c r="B51" t="s">
        <v>365</v>
      </c>
      <c r="C51" t="s">
        <v>363</v>
      </c>
      <c r="D51" t="s">
        <v>232</v>
      </c>
      <c r="E51" t="s">
        <v>236</v>
      </c>
      <c r="F51" t="s">
        <v>366</v>
      </c>
      <c r="G51" s="1">
        <v>45848</v>
      </c>
    </row>
    <row r="52" spans="1:7">
      <c r="A52">
        <v>53</v>
      </c>
      <c r="B52" t="s">
        <v>488</v>
      </c>
      <c r="C52" t="s">
        <v>489</v>
      </c>
      <c r="D52" t="s">
        <v>490</v>
      </c>
      <c r="E52" t="s">
        <v>223</v>
      </c>
      <c r="F52" t="s">
        <v>491</v>
      </c>
      <c r="G52" s="1">
        <v>45998.653555439814</v>
      </c>
    </row>
    <row r="53" spans="1:7">
      <c r="A53">
        <v>54</v>
      </c>
      <c r="B53" t="s">
        <v>551</v>
      </c>
      <c r="C53" t="s">
        <v>489</v>
      </c>
      <c r="D53" t="s">
        <v>490</v>
      </c>
      <c r="E53" t="s">
        <v>229</v>
      </c>
      <c r="F53" t="s">
        <v>552</v>
      </c>
      <c r="G53" s="1">
        <v>45999.513290277777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572B8-02AD-46F6-AE9D-691F6804A75F}">
  <dimension ref="A1:O89"/>
  <sheetViews>
    <sheetView topLeftCell="A43" zoomScaleNormal="100" workbookViewId="0">
      <selection activeCell="I42" sqref="I42"/>
    </sheetView>
  </sheetViews>
  <sheetFormatPr defaultRowHeight="13.8"/>
  <cols>
    <col min="1" max="1" width="14.19921875" bestFit="1" customWidth="1"/>
    <col min="2" max="2" width="27.3984375" bestFit="1" customWidth="1"/>
    <col min="14" max="14" width="13.3984375" bestFit="1" customWidth="1"/>
    <col min="15" max="15" width="14.19921875" bestFit="1" customWidth="1"/>
  </cols>
  <sheetData>
    <row r="1" spans="1:14">
      <c r="A1" s="3" t="s">
        <v>464</v>
      </c>
      <c r="B1" s="5" t="s">
        <v>549</v>
      </c>
    </row>
    <row r="2" spans="1:14">
      <c r="A2" s="4" t="s">
        <v>402</v>
      </c>
      <c r="B2" s="7">
        <v>2450</v>
      </c>
    </row>
    <row r="3" spans="1:14">
      <c r="A3" s="4" t="s">
        <v>408</v>
      </c>
      <c r="B3" s="7">
        <v>2220</v>
      </c>
      <c r="N3" s="10">
        <f>GETPIVOTDATA("[Measures].[Average of skill_list.salary_max]",$A$1)</f>
        <v>2015.2</v>
      </c>
    </row>
    <row r="4" spans="1:14">
      <c r="A4" s="4" t="s">
        <v>411</v>
      </c>
      <c r="B4" s="7">
        <v>2026</v>
      </c>
    </row>
    <row r="5" spans="1:14">
      <c r="A5" s="4" t="s">
        <v>421</v>
      </c>
      <c r="B5" s="7">
        <v>1780</v>
      </c>
      <c r="N5" t="str">
        <f xml:space="preserve"> " Market Overview: " &amp; pivot_table!D88 &amp; " jobs " &amp; "| Avg Max Salary: PBT " &amp; TEXT(pivot_table!N3,"#,##0")</f>
        <v xml:space="preserve"> Market Overview: 50 jobs | Avg Max Salary: PBT 2,015</v>
      </c>
    </row>
    <row r="6" spans="1:14">
      <c r="A6" s="4" t="s">
        <v>423</v>
      </c>
      <c r="B6" s="7">
        <v>1600</v>
      </c>
    </row>
    <row r="7" spans="1:14">
      <c r="A7" s="4" t="s">
        <v>463</v>
      </c>
      <c r="B7" s="7">
        <v>2015.2</v>
      </c>
    </row>
    <row r="11" spans="1:14">
      <c r="A11" s="12"/>
    </row>
    <row r="13" spans="1:14">
      <c r="A13" t="str">
        <f xml:space="preserve"> A2</f>
        <v>Senior Data Scientist</v>
      </c>
      <c r="B13" s="7">
        <f>B2</f>
        <v>2450</v>
      </c>
    </row>
    <row r="16" spans="1:14">
      <c r="A16" t="str">
        <f>"Highest-paid role" &amp; REPT(" ",100) &amp; A13 &amp; " : £ " &amp; B13</f>
        <v>Highest-paid role                                                                                                    Senior Data Scientist : £ 2450</v>
      </c>
    </row>
    <row r="22" spans="1:2">
      <c r="A22" s="3" t="s">
        <v>466</v>
      </c>
      <c r="B22" s="6" t="s">
        <v>467</v>
      </c>
    </row>
    <row r="23" spans="1:2">
      <c r="A23" s="4" t="s">
        <v>429</v>
      </c>
      <c r="B23" s="6">
        <v>0.1</v>
      </c>
    </row>
    <row r="24" spans="1:2">
      <c r="A24" s="4" t="s">
        <v>416</v>
      </c>
      <c r="B24" s="6">
        <v>0.4</v>
      </c>
    </row>
    <row r="25" spans="1:2">
      <c r="A25" s="4" t="s">
        <v>406</v>
      </c>
      <c r="B25" s="6">
        <v>0.5</v>
      </c>
    </row>
    <row r="26" spans="1:2">
      <c r="A26" s="4" t="s">
        <v>463</v>
      </c>
      <c r="B26" s="6">
        <v>1</v>
      </c>
    </row>
    <row r="42" spans="1:15">
      <c r="N42" s="3" t="s">
        <v>553</v>
      </c>
      <c r="O42" t="s">
        <v>465</v>
      </c>
    </row>
    <row r="43" spans="1:15">
      <c r="N43" s="4" t="s">
        <v>223</v>
      </c>
      <c r="O43" s="11">
        <v>7</v>
      </c>
    </row>
    <row r="44" spans="1:15">
      <c r="A44" s="3" t="s">
        <v>486</v>
      </c>
      <c r="B44" t="s">
        <v>465</v>
      </c>
      <c r="N44" s="4" t="s">
        <v>463</v>
      </c>
      <c r="O44" s="11">
        <v>7</v>
      </c>
    </row>
    <row r="45" spans="1:15">
      <c r="A45" s="4" t="s">
        <v>471</v>
      </c>
      <c r="B45" s="11">
        <v>20</v>
      </c>
    </row>
    <row r="46" spans="1:15">
      <c r="A46" s="4" t="s">
        <v>468</v>
      </c>
      <c r="B46" s="11">
        <v>19</v>
      </c>
      <c r="O46">
        <f>GETPIVOTDATA("[Measures].[Count of job_id]",$N$42,"[job_postings].[skill_list.job_location]","[job_postings].[skill_list.job_location].&amp;[Yangon Region]")</f>
        <v>7</v>
      </c>
    </row>
    <row r="47" spans="1:15">
      <c r="A47" s="4" t="s">
        <v>472</v>
      </c>
      <c r="B47" s="11">
        <v>12</v>
      </c>
    </row>
    <row r="48" spans="1:15">
      <c r="A48" s="4" t="s">
        <v>385</v>
      </c>
      <c r="B48" s="11">
        <v>10</v>
      </c>
      <c r="N48" t="str">
        <f xml:space="preserve"> "Location" &amp; REPT(" ",50) &amp;N43 &amp; " leads (" &amp;O46 &amp; " postings)"</f>
        <v>Location                                                  Yangon Region leads (7 postings)</v>
      </c>
    </row>
    <row r="49" spans="1:14">
      <c r="A49" s="4" t="s">
        <v>381</v>
      </c>
      <c r="B49" s="11">
        <v>9</v>
      </c>
    </row>
    <row r="50" spans="1:14">
      <c r="A50" s="4" t="s">
        <v>375</v>
      </c>
      <c r="B50" s="11">
        <v>7</v>
      </c>
      <c r="N50" s="12" t="s">
        <v>554</v>
      </c>
    </row>
    <row r="51" spans="1:14">
      <c r="A51" s="4" t="s">
        <v>470</v>
      </c>
      <c r="B51" s="11">
        <v>6</v>
      </c>
    </row>
    <row r="52" spans="1:14">
      <c r="A52" s="4" t="s">
        <v>398</v>
      </c>
      <c r="B52" s="11">
        <v>5</v>
      </c>
    </row>
    <row r="53" spans="1:14">
      <c r="A53" s="4" t="s">
        <v>474</v>
      </c>
      <c r="B53" s="11">
        <v>5</v>
      </c>
    </row>
    <row r="54" spans="1:14">
      <c r="A54" s="4" t="s">
        <v>475</v>
      </c>
      <c r="B54" s="11">
        <v>5</v>
      </c>
    </row>
    <row r="55" spans="1:14">
      <c r="A55" s="4" t="s">
        <v>463</v>
      </c>
      <c r="B55" s="11">
        <v>98</v>
      </c>
    </row>
    <row r="58" spans="1:14">
      <c r="A58" s="4" t="s">
        <v>555</v>
      </c>
      <c r="B58">
        <f>B45</f>
        <v>20</v>
      </c>
      <c r="C58">
        <f>GETPIVOTDATA("[Measures].[Count of job_id 2]",$A$44,"[job_skills].[skill_lists.1]","[job_skills].[skill_lists.1].&amp;[ Python]")</f>
        <v>19</v>
      </c>
    </row>
    <row r="59" spans="1:14">
      <c r="A59">
        <f>D88</f>
        <v>50</v>
      </c>
      <c r="B59" t="str">
        <f xml:space="preserve"> TEXT(B45 / A59, "0%")</f>
        <v>40%</v>
      </c>
      <c r="C59" t="str">
        <f xml:space="preserve"> TEXT(B45 / A59, "0%")</f>
        <v>40%</v>
      </c>
      <c r="D59" t="str">
        <f xml:space="preserve"> TEXT(B46 / A59, "0%")</f>
        <v>38%</v>
      </c>
    </row>
    <row r="60" spans="1:14">
      <c r="A60" t="str">
        <f>"Core Stack" &amp; REPT(" ",50) &amp; A45 &amp; " : " &amp; B59 &amp; " | " &amp;A46 &amp; " : " &amp; D59</f>
        <v>Core Stack                                                   SQL : 40% |  Python : 38%</v>
      </c>
    </row>
    <row r="65" spans="1:2">
      <c r="A65" s="3" t="s">
        <v>485</v>
      </c>
      <c r="B65" t="s">
        <v>550</v>
      </c>
    </row>
    <row r="66" spans="1:2">
      <c r="A66" s="4" t="s">
        <v>233</v>
      </c>
      <c r="B66" s="11">
        <v>4</v>
      </c>
    </row>
    <row r="67" spans="1:2">
      <c r="A67" s="4" t="s">
        <v>260</v>
      </c>
      <c r="B67" s="11">
        <v>4</v>
      </c>
    </row>
    <row r="68" spans="1:2">
      <c r="A68" s="4" t="s">
        <v>266</v>
      </c>
      <c r="B68" s="11">
        <v>3</v>
      </c>
    </row>
    <row r="69" spans="1:2">
      <c r="A69" s="4" t="s">
        <v>248</v>
      </c>
      <c r="B69" s="11">
        <v>3</v>
      </c>
    </row>
    <row r="70" spans="1:2">
      <c r="A70" s="4" t="s">
        <v>269</v>
      </c>
      <c r="B70" s="11">
        <v>2</v>
      </c>
    </row>
    <row r="71" spans="1:2">
      <c r="A71" s="4" t="s">
        <v>254</v>
      </c>
      <c r="B71" s="11">
        <v>3</v>
      </c>
    </row>
    <row r="72" spans="1:2">
      <c r="A72" s="4" t="s">
        <v>257</v>
      </c>
      <c r="B72" s="11">
        <v>3</v>
      </c>
    </row>
    <row r="73" spans="1:2">
      <c r="A73" s="4" t="s">
        <v>229</v>
      </c>
      <c r="B73" s="11">
        <v>4</v>
      </c>
    </row>
    <row r="74" spans="1:2">
      <c r="A74" s="4" t="s">
        <v>251</v>
      </c>
      <c r="B74" s="11">
        <v>3</v>
      </c>
    </row>
    <row r="75" spans="1:2">
      <c r="A75" s="4" t="s">
        <v>236</v>
      </c>
      <c r="B75" s="11">
        <v>2</v>
      </c>
    </row>
    <row r="76" spans="1:2">
      <c r="A76" s="4" t="s">
        <v>245</v>
      </c>
      <c r="B76" s="11">
        <v>3</v>
      </c>
    </row>
    <row r="77" spans="1:2">
      <c r="A77" s="4" t="s">
        <v>242</v>
      </c>
      <c r="B77" s="11">
        <v>4</v>
      </c>
    </row>
    <row r="78" spans="1:2">
      <c r="A78" s="4" t="s">
        <v>239</v>
      </c>
      <c r="B78" s="11">
        <v>3</v>
      </c>
    </row>
    <row r="79" spans="1:2">
      <c r="A79" s="4" t="s">
        <v>263</v>
      </c>
      <c r="B79" s="11">
        <v>2</v>
      </c>
    </row>
    <row r="80" spans="1:2">
      <c r="A80" s="4" t="s">
        <v>223</v>
      </c>
      <c r="B80" s="11">
        <v>7</v>
      </c>
    </row>
    <row r="81" spans="1:4">
      <c r="A81" s="4" t="s">
        <v>463</v>
      </c>
      <c r="B81" s="11">
        <v>50</v>
      </c>
    </row>
    <row r="88" spans="1:4">
      <c r="A88" t="s">
        <v>465</v>
      </c>
      <c r="D88" s="11">
        <f>GETPIVOTDATA("[Measures].[Count of job_id]",$A$88)</f>
        <v>50</v>
      </c>
    </row>
    <row r="89" spans="1:4">
      <c r="A89" s="11">
        <v>50</v>
      </c>
    </row>
  </sheetData>
  <pageMargins left="0.7" right="0.7" top="0.75" bottom="0.75" header="0.3" footer="0.3"/>
  <pageSetup orientation="portrait"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33A25-49CE-4FC0-A94D-2A7A916A3460}">
  <dimension ref="A1:K1"/>
  <sheetViews>
    <sheetView showGridLines="0" showRowColHeaders="0" tabSelected="1" zoomScaleNormal="100" workbookViewId="0">
      <selection activeCell="L11" sqref="L11"/>
    </sheetView>
  </sheetViews>
  <sheetFormatPr defaultRowHeight="13.8"/>
  <sheetData>
    <row r="1" spans="1:11" ht="35.4">
      <c r="A1" s="8"/>
      <c r="B1" s="9" t="s">
        <v>487</v>
      </c>
      <c r="C1" s="8"/>
      <c r="D1" s="8"/>
      <c r="E1" s="9"/>
      <c r="F1" s="9"/>
      <c r="G1" s="9"/>
      <c r="H1" s="9"/>
      <c r="I1" s="9"/>
      <c r="J1" s="9"/>
      <c r="K1" s="9"/>
    </row>
  </sheetData>
  <sheetProtection algorithmName="SHA-512" hashValue="t3yca4yOko+Qy9FnrpJmKsV6DSxBD6tidkWz0Z6IKU89EzPehtxk8y5FEU7AaIX7f1GQm1+5wfnljablTUzh/w==" saltValue="o3LFxG30TAPPtFQf744DMw==" spinCount="100000" sheet="1" objects="1" scenarios="1" pivotTables="0"/>
  <pageMargins left="0.7" right="0.7" top="0.75" bottom="0.75" header="0.3" footer="0.3"/>
  <pageSetup scale="26"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D71A96-598D-4123-BBE1-8F7512BFAC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skills</vt:lpstr>
      <vt:lpstr>job_skills</vt:lpstr>
      <vt:lpstr>job_postings</vt:lpstr>
      <vt:lpstr>applications</vt:lpstr>
      <vt:lpstr>companies</vt:lpstr>
      <vt:lpstr>pivot_table</vt:lpstr>
      <vt:lpstr>Job Market Dashboard</vt:lpstr>
      <vt:lpstr>'Job Market 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Aung ThuKha</dc:creator>
  <cp:lastModifiedBy>Victus</cp:lastModifiedBy>
  <dcterms:created xsi:type="dcterms:W3CDTF">2025-12-06T15:45:46Z</dcterms:created>
  <dcterms:modified xsi:type="dcterms:W3CDTF">2025-12-10T06:18:27Z</dcterms:modified>
</cp:coreProperties>
</file>